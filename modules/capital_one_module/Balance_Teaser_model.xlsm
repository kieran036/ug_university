
<file path=[Content_Types].xml><?xml version="1.0" encoding="utf-8"?>
<Types xmlns="http://schemas.openxmlformats.org/package/2006/content-types">
  <Default Extension="bin" ContentType="application/vnd.openxmlformats-officedocument.spreadsheetml.printerSettings"/>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05" windowWidth="5490" windowHeight="6390"/>
  </bookViews>
  <sheets>
    <sheet name="Instructions" sheetId="1" r:id="rId1"/>
    <sheet name="Main Program" sheetId="5" r:id="rId2"/>
    <sheet name="Model inputs" sheetId="2" r:id="rId3"/>
    <sheet name="Profit model" sheetId="3" r:id="rId4"/>
  </sheets>
  <definedNames>
    <definedName name="All_Params">'Model inputs'!$C$3:$C$7</definedName>
    <definedName name="Param_Backup">'Model inputs'!$F$3:$F$7</definedName>
    <definedName name="Product_Params">'Model inputs'!$C$3:$C$5</definedName>
    <definedName name="Product_Params_2">'Model inputs'!$C$6:$C$7</definedName>
    <definedName name="Product_PV">'Profit model'!$B$16</definedName>
    <definedName name="Product_Range">'Main Program'!$C$3:$H$5</definedName>
    <definedName name="Product_Range_2">'Main Program'!$C$9:$H$10</definedName>
    <definedName name="PV_Range">'Main Program'!$C$12:$H$12</definedName>
  </definedNames>
  <calcPr calcId="145621"/>
</workbook>
</file>

<file path=xl/calcChain.xml><?xml version="1.0" encoding="utf-8"?>
<calcChain xmlns="http://schemas.openxmlformats.org/spreadsheetml/2006/main">
  <c r="C3" i="2" l="1"/>
  <c r="C4" i="2"/>
  <c r="C5" i="2"/>
  <c r="C6" i="2"/>
  <c r="C7" i="2"/>
  <c r="F3" i="2"/>
  <c r="F4" i="2"/>
  <c r="F5" i="2"/>
  <c r="F6" i="2"/>
  <c r="F7" i="2"/>
  <c r="J6" i="5" l="1"/>
  <c r="M16" i="5"/>
  <c r="N13" i="5"/>
  <c r="M13" i="5"/>
  <c r="N11" i="5"/>
  <c r="M11" i="5"/>
  <c r="N9" i="5"/>
  <c r="M9" i="5"/>
  <c r="N7" i="5"/>
  <c r="M7" i="5"/>
  <c r="N5" i="5"/>
  <c r="M5" i="5"/>
  <c r="AC6" i="3"/>
  <c r="C14" i="3"/>
  <c r="D14" i="3"/>
  <c r="E14" i="3"/>
  <c r="F14" i="3"/>
  <c r="G14" i="3"/>
  <c r="H14" i="3"/>
  <c r="I14" i="3"/>
  <c r="J14" i="3"/>
  <c r="K14" i="3"/>
  <c r="L14" i="3"/>
  <c r="M14" i="3"/>
  <c r="N14" i="3"/>
  <c r="O14" i="3"/>
  <c r="P14" i="3"/>
  <c r="Q14" i="3"/>
  <c r="R14" i="3"/>
  <c r="S14" i="3"/>
  <c r="T14" i="3"/>
  <c r="U14" i="3"/>
  <c r="V14" i="3"/>
  <c r="W14" i="3"/>
  <c r="X14" i="3"/>
  <c r="Y14" i="3"/>
  <c r="Z14" i="3"/>
  <c r="AA14" i="3"/>
  <c r="AB14" i="3"/>
  <c r="AC14" i="3"/>
  <c r="AD14" i="3"/>
  <c r="AE14" i="3"/>
  <c r="AF14" i="3"/>
  <c r="AG14" i="3"/>
  <c r="AH14" i="3"/>
  <c r="AI14" i="3"/>
  <c r="AJ14" i="3"/>
  <c r="AK14" i="3"/>
  <c r="AL14" i="3"/>
  <c r="AM14" i="3"/>
  <c r="AN14" i="3"/>
  <c r="AO14" i="3"/>
  <c r="AP14" i="3"/>
  <c r="AQ14" i="3"/>
  <c r="AR14" i="3"/>
  <c r="AS14" i="3"/>
  <c r="AT14" i="3"/>
  <c r="AU14" i="3"/>
  <c r="AV14" i="3"/>
  <c r="AW14" i="3"/>
  <c r="AX14" i="3"/>
  <c r="AY14" i="3"/>
  <c r="AZ14" i="3"/>
  <c r="BA14" i="3"/>
  <c r="BB14" i="3"/>
  <c r="BC14" i="3"/>
  <c r="BD14" i="3"/>
  <c r="BE14" i="3"/>
  <c r="BF14" i="3"/>
  <c r="BG14" i="3"/>
  <c r="BH14" i="3"/>
  <c r="BI14" i="3"/>
  <c r="BJ14" i="3"/>
  <c r="B14" i="3"/>
  <c r="J5" i="3"/>
  <c r="K5" i="3"/>
  <c r="L5" i="3"/>
  <c r="M5" i="3"/>
  <c r="N5" i="3"/>
  <c r="O5" i="3"/>
  <c r="P5" i="3"/>
  <c r="Q5" i="3"/>
  <c r="R5" i="3"/>
  <c r="S5" i="3"/>
  <c r="T5" i="3"/>
  <c r="U5" i="3"/>
  <c r="V5" i="3"/>
  <c r="W5" i="3"/>
  <c r="X5" i="3"/>
  <c r="Y5" i="3"/>
  <c r="Z5" i="3"/>
  <c r="AA5" i="3"/>
  <c r="AB5" i="3"/>
  <c r="AC5" i="3"/>
  <c r="AD5" i="3"/>
  <c r="AE5" i="3"/>
  <c r="AF5" i="3"/>
  <c r="AG5" i="3"/>
  <c r="AH5" i="3"/>
  <c r="AI5" i="3"/>
  <c r="AJ5" i="3"/>
  <c r="AK5" i="3"/>
  <c r="AL5" i="3"/>
  <c r="AM5" i="3"/>
  <c r="AN5" i="3"/>
  <c r="AO5" i="3"/>
  <c r="AP5" i="3"/>
  <c r="AQ5" i="3"/>
  <c r="AR5" i="3"/>
  <c r="AS5" i="3"/>
  <c r="AT5" i="3"/>
  <c r="AU5" i="3"/>
  <c r="AV5" i="3"/>
  <c r="AW5" i="3"/>
  <c r="AX5" i="3"/>
  <c r="AY5" i="3"/>
  <c r="AZ5" i="3"/>
  <c r="BA5" i="3"/>
  <c r="BB5" i="3"/>
  <c r="BC5" i="3"/>
  <c r="BD5" i="3"/>
  <c r="BE5" i="3"/>
  <c r="BF5" i="3"/>
  <c r="BG5" i="3"/>
  <c r="BH5" i="3"/>
  <c r="BI5" i="3"/>
  <c r="BJ5" i="3"/>
  <c r="I5" i="3"/>
  <c r="AG6" i="3" l="1"/>
  <c r="BC6" i="3"/>
  <c r="AU6" i="3"/>
  <c r="AM6" i="3"/>
  <c r="BJ6" i="3"/>
  <c r="BB6" i="3"/>
  <c r="AT6" i="3"/>
  <c r="AL6" i="3"/>
  <c r="AB6" i="3"/>
  <c r="G6" i="3"/>
  <c r="BG6" i="3"/>
  <c r="AY6" i="3"/>
  <c r="AQ6" i="3"/>
  <c r="AI6" i="3"/>
  <c r="X6" i="3"/>
  <c r="F6" i="3"/>
  <c r="BF6" i="3"/>
  <c r="AX6" i="3"/>
  <c r="AP6" i="3"/>
  <c r="S6" i="3"/>
  <c r="E6" i="3"/>
  <c r="BI6" i="3"/>
  <c r="BE6" i="3"/>
  <c r="BA6" i="3"/>
  <c r="AW6" i="3"/>
  <c r="AS6" i="3"/>
  <c r="AO6" i="3"/>
  <c r="AK6" i="3"/>
  <c r="AE6" i="3"/>
  <c r="AA6" i="3"/>
  <c r="B8" i="3"/>
  <c r="R6" i="3"/>
  <c r="D6" i="3"/>
  <c r="BH6" i="3"/>
  <c r="BD6" i="3"/>
  <c r="AZ6" i="3"/>
  <c r="AV6" i="3"/>
  <c r="AR6" i="3"/>
  <c r="AN6" i="3"/>
  <c r="Y6" i="3"/>
  <c r="Z6" i="3" l="1"/>
  <c r="AF6" i="3" l="1"/>
  <c r="AH6" i="3" l="1"/>
  <c r="E7" i="5"/>
  <c r="D7" i="5"/>
  <c r="F7" i="5"/>
  <c r="H7" i="5"/>
  <c r="G7" i="5"/>
  <c r="D5" i="2"/>
  <c r="C7" i="5"/>
  <c r="H8" i="5" l="1"/>
  <c r="C9" i="5"/>
  <c r="C10" i="5"/>
  <c r="C8" i="5"/>
  <c r="F9" i="5"/>
  <c r="F10" i="5"/>
  <c r="F8" i="5"/>
  <c r="G10" i="5"/>
  <c r="G8" i="5"/>
  <c r="E8" i="5"/>
  <c r="E10" i="5"/>
  <c r="D9" i="5"/>
  <c r="D8" i="5"/>
  <c r="D10" i="5"/>
  <c r="H9" i="5"/>
  <c r="H10" i="5"/>
  <c r="G9" i="5"/>
  <c r="E9" i="5"/>
  <c r="B3" i="3" l="1"/>
  <c r="B11" i="3" s="1"/>
  <c r="J8" i="5"/>
  <c r="C6" i="3"/>
  <c r="C4" i="3" s="1"/>
  <c r="D4" i="3" s="1"/>
  <c r="E4" i="3" s="1"/>
  <c r="F4" i="3" s="1"/>
  <c r="G4" i="3" s="1"/>
  <c r="H6" i="3"/>
  <c r="B9" i="3" l="1"/>
  <c r="C3" i="3"/>
  <c r="C8" i="3" s="1"/>
  <c r="B10" i="3"/>
  <c r="H4" i="3"/>
  <c r="I6" i="3" s="1"/>
  <c r="B13" i="3" l="1"/>
  <c r="D3" i="3"/>
  <c r="D8" i="3" s="1"/>
  <c r="C11" i="3"/>
  <c r="C10" i="3"/>
  <c r="I4" i="3"/>
  <c r="J6" i="3" l="1"/>
  <c r="J4" i="3" s="1"/>
  <c r="K6" i="3" s="1"/>
  <c r="D11" i="3"/>
  <c r="D10" i="3"/>
  <c r="E3" i="3"/>
  <c r="E8" i="3" s="1"/>
  <c r="C13" i="3"/>
  <c r="T6" i="3"/>
  <c r="K4" i="3" l="1"/>
  <c r="L6" i="3" s="1"/>
  <c r="L4" i="3" s="1"/>
  <c r="D13" i="3"/>
  <c r="F3" i="3"/>
  <c r="F8" i="3" s="1"/>
  <c r="E10" i="3"/>
  <c r="E11" i="3"/>
  <c r="M6" i="3"/>
  <c r="U6" i="3"/>
  <c r="M4" i="3" l="1"/>
  <c r="N6" i="3" s="1"/>
  <c r="N4" i="3" s="1"/>
  <c r="O6" i="3" s="1"/>
  <c r="G3" i="3"/>
  <c r="G8" i="3" s="1"/>
  <c r="F11" i="3"/>
  <c r="F10" i="3"/>
  <c r="E13" i="3"/>
  <c r="V6" i="3"/>
  <c r="O4" i="3" l="1"/>
  <c r="H3" i="3"/>
  <c r="H8" i="3" s="1"/>
  <c r="G10" i="3"/>
  <c r="F13" i="3"/>
  <c r="G11" i="3"/>
  <c r="P6" i="3"/>
  <c r="P4" i="3" s="1"/>
  <c r="W6" i="3"/>
  <c r="H11" i="3" l="1"/>
  <c r="I3" i="3"/>
  <c r="I8" i="3" s="1"/>
  <c r="H10" i="3"/>
  <c r="G13" i="3"/>
  <c r="Q6" i="3"/>
  <c r="Q4" i="3" s="1"/>
  <c r="R4" i="3" s="1"/>
  <c r="S4" i="3" s="1"/>
  <c r="T4" i="3" s="1"/>
  <c r="U4" i="3" s="1"/>
  <c r="V4" i="3" s="1"/>
  <c r="W4" i="3" s="1"/>
  <c r="X4" i="3" s="1"/>
  <c r="Y4" i="3" s="1"/>
  <c r="J3" i="3" l="1"/>
  <c r="J8" i="3" s="1"/>
  <c r="H13" i="3"/>
  <c r="I10" i="3"/>
  <c r="I11" i="3"/>
  <c r="Z4" i="3"/>
  <c r="J10" i="3" l="1"/>
  <c r="K3" i="3"/>
  <c r="K8" i="3" s="1"/>
  <c r="J11" i="3"/>
  <c r="I13" i="3"/>
  <c r="AA4" i="3"/>
  <c r="J13" i="3" l="1"/>
  <c r="K11" i="3"/>
  <c r="L3" i="3"/>
  <c r="L8" i="3" s="1"/>
  <c r="K10" i="3"/>
  <c r="AB4" i="3"/>
  <c r="L10" i="3" l="1"/>
  <c r="M3" i="3"/>
  <c r="M8" i="3" s="1"/>
  <c r="L11" i="3"/>
  <c r="K13" i="3"/>
  <c r="AC4" i="3"/>
  <c r="AD6" i="3" s="1"/>
  <c r="M10" i="3"/>
  <c r="M11" i="3"/>
  <c r="L13" i="3" l="1"/>
  <c r="N3" i="3"/>
  <c r="N8" i="3" s="1"/>
  <c r="M13" i="3"/>
  <c r="AD4" i="3"/>
  <c r="O3" i="3" l="1"/>
  <c r="O8" i="3" s="1"/>
  <c r="N10" i="3"/>
  <c r="N11" i="3"/>
  <c r="AE4" i="3"/>
  <c r="O11" i="3" l="1"/>
  <c r="O10" i="3"/>
  <c r="P3" i="3"/>
  <c r="P8" i="3" s="1"/>
  <c r="N13" i="3"/>
  <c r="AF4" i="3"/>
  <c r="O13" i="3" l="1"/>
  <c r="P10" i="3"/>
  <c r="P11" i="3"/>
  <c r="P13" i="3" s="1"/>
  <c r="Q3" i="3"/>
  <c r="Q8" i="3" s="1"/>
  <c r="AG4" i="3"/>
  <c r="Q10" i="3" l="1"/>
  <c r="R3" i="3"/>
  <c r="R11" i="3" s="1"/>
  <c r="Q11" i="3"/>
  <c r="R8" i="3"/>
  <c r="R10" i="3"/>
  <c r="AH4" i="3"/>
  <c r="S3" i="3" l="1"/>
  <c r="Q13" i="3"/>
  <c r="R13" i="3"/>
  <c r="AI4" i="3"/>
  <c r="AJ6" i="3" s="1"/>
  <c r="S8" i="3"/>
  <c r="S11" i="3"/>
  <c r="T3" i="3"/>
  <c r="S10" i="3"/>
  <c r="S13" i="3" l="1"/>
  <c r="AJ4" i="3"/>
  <c r="T11" i="3"/>
  <c r="U3" i="3"/>
  <c r="T8" i="3"/>
  <c r="T10" i="3"/>
  <c r="T13" i="3" l="1"/>
  <c r="AK4" i="3"/>
  <c r="U8" i="3"/>
  <c r="V3" i="3"/>
  <c r="U11" i="3"/>
  <c r="U10" i="3"/>
  <c r="U13" i="3" l="1"/>
  <c r="V8" i="3"/>
  <c r="V11" i="3"/>
  <c r="W3" i="3"/>
  <c r="V10" i="3"/>
  <c r="AL4" i="3"/>
  <c r="V13" i="3" l="1"/>
  <c r="AM4" i="3"/>
  <c r="W8" i="3"/>
  <c r="X3" i="3"/>
  <c r="W11" i="3"/>
  <c r="W10" i="3"/>
  <c r="W13" i="3" l="1"/>
  <c r="Y3" i="3"/>
  <c r="X11" i="3"/>
  <c r="X8" i="3"/>
  <c r="X10" i="3"/>
  <c r="AN4" i="3"/>
  <c r="Y8" i="3" l="1"/>
  <c r="Y11" i="3"/>
  <c r="Z3" i="3"/>
  <c r="Y10" i="3"/>
  <c r="X13" i="3"/>
  <c r="AO4" i="3"/>
  <c r="AP4" i="3" l="1"/>
  <c r="Z11" i="3"/>
  <c r="Z8" i="3"/>
  <c r="AA3" i="3"/>
  <c r="Z10" i="3"/>
  <c r="Y13" i="3"/>
  <c r="Z13" i="3" l="1"/>
  <c r="AA11" i="3"/>
  <c r="AA8" i="3"/>
  <c r="AB3" i="3"/>
  <c r="AA10" i="3"/>
  <c r="AQ4" i="3"/>
  <c r="AA13" i="3" l="1"/>
  <c r="AR4" i="3"/>
  <c r="AB11" i="3"/>
  <c r="AB8" i="3"/>
  <c r="AC3" i="3"/>
  <c r="AB10" i="3"/>
  <c r="AB13" i="3" l="1"/>
  <c r="AS4" i="3"/>
  <c r="AC8" i="3"/>
  <c r="AC11" i="3"/>
  <c r="AD3" i="3"/>
  <c r="AC10" i="3"/>
  <c r="AC13" i="3" l="1"/>
  <c r="AD11" i="3"/>
  <c r="AE3" i="3"/>
  <c r="AD8" i="3"/>
  <c r="AD10" i="3"/>
  <c r="AT4" i="3"/>
  <c r="AD13" i="3" l="1"/>
  <c r="AU4" i="3"/>
  <c r="AF3" i="3"/>
  <c r="AE11" i="3"/>
  <c r="AE8" i="3"/>
  <c r="AE10" i="3"/>
  <c r="AF11" i="3" l="1"/>
  <c r="AF8" i="3"/>
  <c r="AG3" i="3"/>
  <c r="AF10" i="3"/>
  <c r="AE13" i="3"/>
  <c r="AV4" i="3"/>
  <c r="AF13" i="3" l="1"/>
  <c r="AW4" i="3"/>
  <c r="AG8" i="3"/>
  <c r="AG11" i="3"/>
  <c r="AH3" i="3"/>
  <c r="AG10" i="3"/>
  <c r="AG13" i="3" l="1"/>
  <c r="AH11" i="3"/>
  <c r="AH8" i="3"/>
  <c r="AI3" i="3"/>
  <c r="AH10" i="3"/>
  <c r="AX4" i="3"/>
  <c r="AH13" i="3" l="1"/>
  <c r="AI11" i="3"/>
  <c r="AI8" i="3"/>
  <c r="AJ3" i="3"/>
  <c r="AI10" i="3"/>
  <c r="AY4" i="3"/>
  <c r="AI13" i="3" l="1"/>
  <c r="AZ4" i="3"/>
  <c r="AJ8" i="3"/>
  <c r="AJ11" i="3"/>
  <c r="AK3" i="3"/>
  <c r="AJ10" i="3"/>
  <c r="AJ13" i="3" l="1"/>
  <c r="BA4" i="3"/>
  <c r="AK11" i="3"/>
  <c r="AK8" i="3"/>
  <c r="AL3" i="3"/>
  <c r="AK10" i="3"/>
  <c r="AL8" i="3" l="1"/>
  <c r="AL11" i="3"/>
  <c r="AM3" i="3"/>
  <c r="AL10" i="3"/>
  <c r="AK13" i="3"/>
  <c r="BB4" i="3"/>
  <c r="BC4" i="3" l="1"/>
  <c r="AM11" i="3"/>
  <c r="AN3" i="3"/>
  <c r="AM8" i="3"/>
  <c r="AM10" i="3"/>
  <c r="AL13" i="3"/>
  <c r="AN11" i="3" l="1"/>
  <c r="AO3" i="3"/>
  <c r="AN8" i="3"/>
  <c r="AN10" i="3"/>
  <c r="BD4" i="3"/>
  <c r="AM13" i="3"/>
  <c r="AN13" i="3" l="1"/>
  <c r="BE4" i="3"/>
  <c r="AO8" i="3"/>
  <c r="AO11" i="3"/>
  <c r="AP3" i="3"/>
  <c r="AO10" i="3"/>
  <c r="AO13" i="3" l="1"/>
  <c r="AP11" i="3"/>
  <c r="AQ3" i="3"/>
  <c r="AP8" i="3"/>
  <c r="AP10" i="3"/>
  <c r="BF4" i="3"/>
  <c r="BG4" i="3" l="1"/>
  <c r="AP13" i="3"/>
  <c r="AQ8" i="3"/>
  <c r="AQ11" i="3"/>
  <c r="AR3" i="3"/>
  <c r="AQ10" i="3"/>
  <c r="AQ13" i="3" l="1"/>
  <c r="AR11" i="3"/>
  <c r="AS3" i="3"/>
  <c r="AR8" i="3"/>
  <c r="AR10" i="3"/>
  <c r="BH4" i="3"/>
  <c r="AR13" i="3" l="1"/>
  <c r="AS11" i="3"/>
  <c r="AS8" i="3"/>
  <c r="AT3" i="3"/>
  <c r="AS10" i="3"/>
  <c r="BI4" i="3"/>
  <c r="AS13" i="3" l="1"/>
  <c r="BJ4" i="3"/>
  <c r="AT8" i="3"/>
  <c r="AT11" i="3"/>
  <c r="AU3" i="3"/>
  <c r="AT10" i="3"/>
  <c r="AT13" i="3" l="1"/>
  <c r="AU11" i="3"/>
  <c r="AU8" i="3"/>
  <c r="AV3" i="3"/>
  <c r="AU10" i="3"/>
  <c r="AU13" i="3" l="1"/>
  <c r="AV11" i="3"/>
  <c r="AV8" i="3"/>
  <c r="AW3" i="3"/>
  <c r="AV10" i="3"/>
  <c r="AV13" i="3" l="1"/>
  <c r="AW11" i="3"/>
  <c r="AW8" i="3"/>
  <c r="AX3" i="3"/>
  <c r="AW10" i="3"/>
  <c r="AW13" i="3" l="1"/>
  <c r="AX8" i="3"/>
  <c r="AX11" i="3"/>
  <c r="AY3" i="3"/>
  <c r="AX10" i="3"/>
  <c r="AX13" i="3" l="1"/>
  <c r="AY8" i="3"/>
  <c r="AZ3" i="3"/>
  <c r="AY11" i="3"/>
  <c r="AY10" i="3"/>
  <c r="AY13" i="3" l="1"/>
  <c r="BA3" i="3"/>
  <c r="AZ11" i="3"/>
  <c r="AZ8" i="3"/>
  <c r="AZ10" i="3"/>
  <c r="AZ13" i="3" l="1"/>
  <c r="BB3" i="3"/>
  <c r="BA8" i="3"/>
  <c r="BA11" i="3"/>
  <c r="BA10" i="3"/>
  <c r="BA13" i="3" l="1"/>
  <c r="BB8" i="3"/>
  <c r="BB11" i="3"/>
  <c r="BC3" i="3"/>
  <c r="BB10" i="3"/>
  <c r="BC8" i="3" l="1"/>
  <c r="BD3" i="3"/>
  <c r="BC11" i="3"/>
  <c r="BC10" i="3"/>
  <c r="BB13" i="3"/>
  <c r="BC13" i="3" l="1"/>
  <c r="BD8" i="3"/>
  <c r="BE3" i="3"/>
  <c r="BD11" i="3"/>
  <c r="BD10" i="3"/>
  <c r="BD13" i="3" l="1"/>
  <c r="BE11" i="3"/>
  <c r="BF3" i="3"/>
  <c r="BE8" i="3"/>
  <c r="BE10" i="3"/>
  <c r="BE13" i="3" l="1"/>
  <c r="BF11" i="3"/>
  <c r="BG3" i="3"/>
  <c r="BF8" i="3"/>
  <c r="BF10" i="3"/>
  <c r="BF13" i="3" l="1"/>
  <c r="BG11" i="3"/>
  <c r="BH3" i="3"/>
  <c r="BG8" i="3"/>
  <c r="BG10" i="3"/>
  <c r="BG13" i="3" l="1"/>
  <c r="BH8" i="3"/>
  <c r="BH11" i="3"/>
  <c r="BI3" i="3"/>
  <c r="BH10" i="3"/>
  <c r="BH13" i="3" l="1"/>
  <c r="BJ3" i="3"/>
  <c r="BI8" i="3"/>
  <c r="BI11" i="3"/>
  <c r="BI10" i="3"/>
  <c r="BI13" i="3" l="1"/>
  <c r="BJ11" i="3"/>
  <c r="BJ8" i="3"/>
  <c r="BJ10" i="3"/>
  <c r="BJ13" i="3" l="1"/>
  <c r="B16" i="3" s="1"/>
  <c r="F13" i="5" l="1"/>
  <c r="G13" i="5"/>
  <c r="D13" i="5"/>
  <c r="H13" i="5"/>
  <c r="E13" i="5"/>
  <c r="C12" i="5"/>
  <c r="C13" i="5" s="1"/>
  <c r="J13" i="5" l="1"/>
</calcChain>
</file>

<file path=xl/comments1.xml><?xml version="1.0" encoding="utf-8"?>
<comments xmlns="http://schemas.openxmlformats.org/spreadsheetml/2006/main">
  <authors>
    <author>Young, Samuel</author>
  </authors>
  <commentList>
    <comment ref="J2" authorId="0">
      <text>
        <r>
          <rPr>
            <b/>
            <sz val="9"/>
            <color indexed="81"/>
            <rFont val="Tahoma"/>
            <family val="2"/>
          </rPr>
          <t>Young, Samuel:</t>
        </r>
        <r>
          <rPr>
            <sz val="9"/>
            <color indexed="81"/>
            <rFont val="Tahoma"/>
            <family val="2"/>
          </rPr>
          <t xml:space="preserve">
How important each product feature to customers and therefore the overall product score</t>
        </r>
      </text>
    </comment>
    <comment ref="B4" authorId="0">
      <text>
        <r>
          <rPr>
            <b/>
            <sz val="9"/>
            <color indexed="81"/>
            <rFont val="Tahoma"/>
            <family val="2"/>
          </rPr>
          <t>Young, Samuel:</t>
        </r>
        <r>
          <rPr>
            <sz val="9"/>
            <color indexed="81"/>
            <rFont val="Tahoma"/>
            <family val="2"/>
          </rPr>
          <t xml:space="preserve">
Fee charged to transfer in a balance (as % of balance transferred)</t>
        </r>
      </text>
    </comment>
    <comment ref="B5" authorId="0">
      <text>
        <r>
          <rPr>
            <b/>
            <sz val="9"/>
            <color indexed="81"/>
            <rFont val="Tahoma"/>
            <family val="2"/>
          </rPr>
          <t>Young, Samuel:</t>
        </r>
        <r>
          <rPr>
            <sz val="9"/>
            <color indexed="81"/>
            <rFont val="Tahoma"/>
            <family val="2"/>
          </rPr>
          <t xml:space="preserve">
Annual compound interest rate after the teaser period expires</t>
        </r>
      </text>
    </comment>
    <comment ref="L5" authorId="0">
      <text>
        <r>
          <rPr>
            <b/>
            <sz val="9"/>
            <color indexed="81"/>
            <rFont val="Tahoma"/>
            <family val="2"/>
          </rPr>
          <t>Young, Samuel:</t>
        </r>
        <r>
          <rPr>
            <sz val="9"/>
            <color indexed="81"/>
            <rFont val="Tahoma"/>
            <family val="2"/>
          </rPr>
          <t xml:space="preserve">
Fractional ranks are used if there are two identical products</t>
        </r>
      </text>
    </comment>
    <comment ref="B7" authorId="0">
      <text>
        <r>
          <rPr>
            <b/>
            <sz val="9"/>
            <color indexed="81"/>
            <rFont val="Tahoma"/>
            <family val="2"/>
          </rPr>
          <t>Young, Samuel:</t>
        </r>
        <r>
          <rPr>
            <sz val="9"/>
            <color indexed="81"/>
            <rFont val="Tahoma"/>
            <family val="2"/>
          </rPr>
          <t xml:space="preserve">
How good the product is relative to the competition, which will influence how many customers apply for it.</t>
        </r>
      </text>
    </comment>
    <comment ref="B8" authorId="0">
      <text>
        <r>
          <rPr>
            <b/>
            <sz val="9"/>
            <color indexed="81"/>
            <rFont val="Tahoma"/>
            <family val="2"/>
          </rPr>
          <t>Young, Samuel:</t>
        </r>
        <r>
          <rPr>
            <sz val="9"/>
            <color indexed="81"/>
            <rFont val="Tahoma"/>
            <family val="2"/>
          </rPr>
          <t xml:space="preserve">
How many customers the product gets each year. This is driven by how good the product is relative to competitors.</t>
        </r>
      </text>
    </comment>
    <comment ref="B9" authorId="0">
      <text>
        <r>
          <rPr>
            <b/>
            <sz val="9"/>
            <color indexed="81"/>
            <rFont val="Tahoma"/>
            <family val="2"/>
          </rPr>
          <t>Young, Samuel:</t>
        </r>
        <r>
          <rPr>
            <sz val="9"/>
            <color indexed="81"/>
            <rFont val="Tahoma"/>
            <family val="2"/>
          </rPr>
          <t xml:space="preserve">
Average balance transferred in. This is influenced by how good the product is (people with large balances will pick the better deals).</t>
        </r>
      </text>
    </comment>
    <comment ref="B10" authorId="0">
      <text>
        <r>
          <rPr>
            <b/>
            <sz val="9"/>
            <color indexed="81"/>
            <rFont val="Tahoma"/>
            <family val="2"/>
          </rPr>
          <t>Young, Samuel:</t>
        </r>
        <r>
          <rPr>
            <sz val="9"/>
            <color indexed="81"/>
            <rFont val="Tahoma"/>
            <family val="2"/>
          </rPr>
          <t xml:space="preserve">
Proportion of people closing before the end of the teaser. The better the product the more people will game it and the less profitable it will be after the teaser period.</t>
        </r>
      </text>
    </comment>
    <comment ref="B12" authorId="0">
      <text>
        <r>
          <rPr>
            <b/>
            <sz val="9"/>
            <color indexed="81"/>
            <rFont val="Tahoma"/>
            <family val="2"/>
          </rPr>
          <t>Young, Samuel:</t>
        </r>
        <r>
          <rPr>
            <sz val="9"/>
            <color indexed="81"/>
            <rFont val="Tahoma"/>
            <family val="2"/>
          </rPr>
          <t xml:space="preserve">
Measure of profit. The lifetime value of one customer compared to having the cash today.</t>
        </r>
      </text>
    </comment>
    <comment ref="B13" authorId="0">
      <text>
        <r>
          <rPr>
            <b/>
            <sz val="9"/>
            <color indexed="81"/>
            <rFont val="Tahoma"/>
            <family val="2"/>
          </rPr>
          <t>Young, Samuel:</t>
        </r>
        <r>
          <rPr>
            <sz val="9"/>
            <color indexed="81"/>
            <rFont val="Tahoma"/>
            <family val="2"/>
          </rPr>
          <t xml:space="preserve">
Measure of profit. The total lifetime value of all customers compared to having the cash today.</t>
        </r>
      </text>
    </comment>
  </commentList>
</comments>
</file>

<file path=xl/comments2.xml><?xml version="1.0" encoding="utf-8"?>
<comments xmlns="http://schemas.openxmlformats.org/spreadsheetml/2006/main">
  <authors>
    <author>Young, Samuel</author>
  </authors>
  <commentList>
    <comment ref="B4" authorId="0">
      <text>
        <r>
          <rPr>
            <b/>
            <sz val="9"/>
            <color indexed="81"/>
            <rFont val="Tahoma"/>
            <family val="2"/>
          </rPr>
          <t>Young, Samuel:</t>
        </r>
        <r>
          <rPr>
            <sz val="9"/>
            <color indexed="81"/>
            <rFont val="Tahoma"/>
            <family val="2"/>
          </rPr>
          <t xml:space="preserve">
Fee charged to transfer in a balance (as % of balance transferred)</t>
        </r>
      </text>
    </comment>
    <comment ref="B5" authorId="0">
      <text>
        <r>
          <rPr>
            <b/>
            <sz val="9"/>
            <color indexed="81"/>
            <rFont val="Tahoma"/>
            <family val="2"/>
          </rPr>
          <t>Young, Samuel:</t>
        </r>
        <r>
          <rPr>
            <sz val="9"/>
            <color indexed="81"/>
            <rFont val="Tahoma"/>
            <family val="2"/>
          </rPr>
          <t xml:space="preserve">
Annual compound interest rate after the teaser period expires</t>
        </r>
      </text>
    </comment>
    <comment ref="D5" authorId="0">
      <text>
        <r>
          <rPr>
            <b/>
            <sz val="9"/>
            <color indexed="81"/>
            <rFont val="Tahoma"/>
            <family val="2"/>
          </rPr>
          <t>Young, Samuel:</t>
        </r>
        <r>
          <rPr>
            <sz val="9"/>
            <color indexed="81"/>
            <rFont val="Tahoma"/>
            <family val="2"/>
          </rPr>
          <t xml:space="preserve">
Monthly simple interest rate</t>
        </r>
      </text>
    </comment>
    <comment ref="B6" authorId="0">
      <text>
        <r>
          <rPr>
            <b/>
            <sz val="9"/>
            <color indexed="81"/>
            <rFont val="Tahoma"/>
            <family val="2"/>
          </rPr>
          <t>Young, Samuel:</t>
        </r>
        <r>
          <rPr>
            <sz val="9"/>
            <color indexed="81"/>
            <rFont val="Tahoma"/>
            <family val="2"/>
          </rPr>
          <t xml:space="preserve">
Average balance transferred in</t>
        </r>
      </text>
    </comment>
    <comment ref="B7" authorId="0">
      <text>
        <r>
          <rPr>
            <b/>
            <sz val="9"/>
            <color indexed="81"/>
            <rFont val="Tahoma"/>
            <family val="2"/>
          </rPr>
          <t>Young, Samuel:</t>
        </r>
        <r>
          <rPr>
            <sz val="9"/>
            <color indexed="81"/>
            <rFont val="Tahoma"/>
            <family val="2"/>
          </rPr>
          <t xml:space="preserve">
Proportion of people closing before the end of the teaser</t>
        </r>
      </text>
    </comment>
    <comment ref="B10" authorId="0">
      <text>
        <r>
          <rPr>
            <b/>
            <sz val="9"/>
            <color indexed="81"/>
            <rFont val="Tahoma"/>
            <family val="2"/>
          </rPr>
          <t>Young, Samuel:</t>
        </r>
        <r>
          <rPr>
            <sz val="9"/>
            <color indexed="81"/>
            <rFont val="Tahoma"/>
            <family val="2"/>
          </rPr>
          <t xml:space="preserve">
The proportion of open accounts that close each month</t>
        </r>
      </text>
    </comment>
    <comment ref="B11" authorId="0">
      <text>
        <r>
          <rPr>
            <b/>
            <sz val="9"/>
            <color indexed="81"/>
            <rFont val="Tahoma"/>
            <family val="2"/>
          </rPr>
          <t>Young, Samuel:</t>
        </r>
        <r>
          <rPr>
            <sz val="9"/>
            <color indexed="81"/>
            <rFont val="Tahoma"/>
            <family val="2"/>
          </rPr>
          <t xml:space="preserve">
The proportion of open accounts that default on their debt each month</t>
        </r>
      </text>
    </comment>
    <comment ref="B12" authorId="0">
      <text>
        <r>
          <rPr>
            <b/>
            <sz val="9"/>
            <color indexed="81"/>
            <rFont val="Tahoma"/>
            <family val="2"/>
          </rPr>
          <t>Young, Samuel:</t>
        </r>
        <r>
          <rPr>
            <sz val="9"/>
            <color indexed="81"/>
            <rFont val="Tahoma"/>
            <family val="2"/>
          </rPr>
          <t xml:space="preserve">
The percentage of their balance that the average customer pays back each month</t>
        </r>
      </text>
    </comment>
    <comment ref="B13" authorId="0">
      <text>
        <r>
          <rPr>
            <b/>
            <sz val="9"/>
            <color indexed="81"/>
            <rFont val="Tahoma"/>
            <family val="2"/>
          </rPr>
          <t>Young, Samuel:</t>
        </r>
        <r>
          <rPr>
            <sz val="9"/>
            <color indexed="81"/>
            <rFont val="Tahoma"/>
            <family val="2"/>
          </rPr>
          <t xml:space="preserve">
How much it costs the business to borrowing the money which is then lent to the customer</t>
        </r>
      </text>
    </comment>
    <comment ref="B14" authorId="0">
      <text>
        <r>
          <rPr>
            <b/>
            <sz val="9"/>
            <color indexed="81"/>
            <rFont val="Tahoma"/>
            <family val="2"/>
          </rPr>
          <t>Young, Samuel:</t>
        </r>
        <r>
          <rPr>
            <sz val="9"/>
            <color indexed="81"/>
            <rFont val="Tahoma"/>
            <family val="2"/>
          </rPr>
          <t xml:space="preserve">
Required return in order for it to be worth the investment. This is roughly how much the business could earn with the money if it invested it elsewhere.</t>
        </r>
      </text>
    </comment>
    <comment ref="B15" authorId="0">
      <text>
        <r>
          <rPr>
            <b/>
            <sz val="9"/>
            <color indexed="81"/>
            <rFont val="Tahoma"/>
            <family val="2"/>
          </rPr>
          <t>Young, Samuel:</t>
        </r>
        <r>
          <rPr>
            <sz val="9"/>
            <color indexed="81"/>
            <rFont val="Tahoma"/>
            <family val="2"/>
          </rPr>
          <t xml:space="preserve">
How many new customers there are each year</t>
        </r>
      </text>
    </comment>
  </commentList>
</comments>
</file>

<file path=xl/comments3.xml><?xml version="1.0" encoding="utf-8"?>
<comments xmlns="http://schemas.openxmlformats.org/spreadsheetml/2006/main">
  <authors>
    <author>Young, Samuel</author>
  </authors>
  <commentList>
    <comment ref="A4" authorId="0">
      <text>
        <r>
          <rPr>
            <b/>
            <sz val="9"/>
            <color indexed="81"/>
            <rFont val="Tahoma"/>
            <family val="2"/>
          </rPr>
          <t>Young, Samuel:</t>
        </r>
        <r>
          <rPr>
            <sz val="9"/>
            <color indexed="81"/>
            <rFont val="Tahoma"/>
            <family val="2"/>
          </rPr>
          <t xml:space="preserve">
Proportion of original customers that still have an open account</t>
        </r>
      </text>
    </comment>
    <comment ref="A5" authorId="0">
      <text>
        <r>
          <rPr>
            <b/>
            <sz val="9"/>
            <color indexed="81"/>
            <rFont val="Tahoma"/>
            <family val="2"/>
          </rPr>
          <t>Young, Samuel:</t>
        </r>
        <r>
          <rPr>
            <sz val="9"/>
            <color indexed="81"/>
            <rFont val="Tahoma"/>
            <family val="2"/>
          </rPr>
          <t xml:space="preserve">
Proportion of open accounts that defaulted this month</t>
        </r>
      </text>
    </comment>
    <comment ref="A13" authorId="0">
      <text>
        <r>
          <rPr>
            <b/>
            <sz val="9"/>
            <color indexed="81"/>
            <rFont val="Tahoma"/>
            <family val="2"/>
          </rPr>
          <t>Young, Samuel:</t>
        </r>
        <r>
          <rPr>
            <sz val="9"/>
            <color indexed="81"/>
            <rFont val="Tahoma"/>
            <family val="2"/>
          </rPr>
          <t xml:space="preserve">
Revenues - costs</t>
        </r>
      </text>
    </comment>
    <comment ref="A14" authorId="0">
      <text>
        <r>
          <rPr>
            <b/>
            <sz val="9"/>
            <color indexed="81"/>
            <rFont val="Tahoma"/>
            <family val="2"/>
          </rPr>
          <t>Young, Samuel:</t>
        </r>
        <r>
          <rPr>
            <sz val="9"/>
            <color indexed="81"/>
            <rFont val="Tahoma"/>
            <family val="2"/>
          </rPr>
          <t xml:space="preserve">
How much future income is worth relative to today (given alternative investment opportunities)</t>
        </r>
      </text>
    </comment>
    <comment ref="A16" authorId="0">
      <text>
        <r>
          <rPr>
            <b/>
            <sz val="9"/>
            <color indexed="81"/>
            <rFont val="Tahoma"/>
            <family val="2"/>
          </rPr>
          <t>Young, Samuel:</t>
        </r>
        <r>
          <rPr>
            <sz val="9"/>
            <color indexed="81"/>
            <rFont val="Tahoma"/>
            <family val="2"/>
          </rPr>
          <t xml:space="preserve">
Measure of profit. The lifetime value of one customer compared to having the cash today.</t>
        </r>
      </text>
    </comment>
  </commentList>
</comments>
</file>

<file path=xl/sharedStrings.xml><?xml version="1.0" encoding="utf-8"?>
<sst xmlns="http://schemas.openxmlformats.org/spreadsheetml/2006/main" count="64" uniqueCount="57">
  <si>
    <t>Post-Teaser APR</t>
  </si>
  <si>
    <t>Average BT size</t>
  </si>
  <si>
    <t>Month</t>
  </si>
  <si>
    <t>Balance per open</t>
  </si>
  <si>
    <t>% open</t>
  </si>
  <si>
    <t>% gamers</t>
  </si>
  <si>
    <t>Interest</t>
  </si>
  <si>
    <t>BT in fee</t>
  </si>
  <si>
    <t>Fees</t>
  </si>
  <si>
    <t>Losses</t>
  </si>
  <si>
    <t>Teaser Length (months)</t>
  </si>
  <si>
    <t>% defaults per open</t>
  </si>
  <si>
    <t>Core assumptions</t>
  </si>
  <si>
    <t>Secondary Assumptions</t>
  </si>
  <si>
    <t>Background closure rate (per month)</t>
  </si>
  <si>
    <t>Average monthly payment</t>
  </si>
  <si>
    <t>Background default rate (per month)</t>
  </si>
  <si>
    <t>Cost of funds</t>
  </si>
  <si>
    <t>Cost of funds (monthly)</t>
  </si>
  <si>
    <t>Discount rate</t>
  </si>
  <si>
    <t>Net Income</t>
  </si>
  <si>
    <t>Discount factor</t>
  </si>
  <si>
    <t>PV</t>
  </si>
  <si>
    <t>Competitor</t>
  </si>
  <si>
    <t>A</t>
  </si>
  <si>
    <t>B</t>
  </si>
  <si>
    <t>D</t>
  </si>
  <si>
    <t>C</t>
  </si>
  <si>
    <t>E</t>
  </si>
  <si>
    <t>Importance of factor</t>
  </si>
  <si>
    <t>Market size</t>
  </si>
  <si>
    <t>% of customers</t>
  </si>
  <si>
    <t>PV per customer</t>
  </si>
  <si>
    <t>Product Score</t>
  </si>
  <si>
    <t># of customers</t>
  </si>
  <si>
    <t>Rank</t>
  </si>
  <si>
    <t>Our product</t>
  </si>
  <si>
    <t>Total Industry Profit</t>
  </si>
  <si>
    <t>Lookup Table</t>
  </si>
  <si>
    <t>% closed per previously open</t>
  </si>
  <si>
    <t>Because one product influences the success of all the others, you must click update after making changes in order to ensure the changes are applied correctly to the entire industry.</t>
  </si>
  <si>
    <t>Model Description</t>
  </si>
  <si>
    <t>Model Usage</t>
  </si>
  <si>
    <t>Model Name</t>
  </si>
  <si>
    <t>Balance Teaser Model</t>
  </si>
  <si>
    <t>Model of the profitability of different balance teaser products in a competitive market</t>
  </si>
  <si>
    <t>Adjust the product features (in yellow) to reflect the desired strategy and expected competitor response.</t>
  </si>
  <si>
    <t>Total PV (Profit)</t>
  </si>
  <si>
    <t>Click the Update button to run the industry simulation (note: macros are required) and observe the resulting profitability of the strategy.</t>
  </si>
  <si>
    <t>Repeat as necessary to identify a proposed strategy.</t>
  </si>
  <si>
    <t>Note that assumptions in green can be updated if there is good reason to do so. Assumptions in red should not need updating except in extreme circumstances.</t>
  </si>
  <si>
    <t>Legend</t>
  </si>
  <si>
    <t>Primary model inputs, update these.</t>
  </si>
  <si>
    <t>Secondary model inputs, may be updated if there is a reasonable hypothesis but don't need to be.</t>
  </si>
  <si>
    <t>Tertiary model inputs, should not need to be updated.</t>
  </si>
  <si>
    <t>Model wiring. Must not be changed.</t>
  </si>
  <si>
    <t>Total</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</si>
</sst>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8" formatCode="&quot;£&quot;#,##0.00;[Red]\-&quot;£&quot;#,##0.00"/>
    <numFmt numFmtId="164" formatCode="&quot;£&quot;#,##0.00"/>
    <numFmt numFmtId="165" formatCode="&quot;£&quot;#,##0"/>
    <numFmt numFmtId="166" formatCode="0.0%"/>
    <numFmt numFmtId="167" formatCode="&quot;£&quot;0.0,,&quot;M&quot;"/>
  </numFmts>
  <fonts count="9"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4"/>
      <color theme="1"/>
      <name val="Calibri"/>
      <family val="2"/>
      <scheme val="minor"/>
    </font>
    <font>
      <sz val="9"/>
      <color indexed="81"/>
      <name val="Tahoma"/>
      <family val="2"/>
    </font>
    <font>
      <b/>
      <sz val="9"/>
      <color indexed="81"/>
      <name val="Tahoma"/>
      <family val="2"/>
    </font>
    <font>
      <sz val="11"/>
      <color rgb="FF000000"/>
      <name val="Calibri"/>
      <family val="2"/>
    </font>
  </fonts>
  <fills count="7">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3" tint="0.79998168889431442"/>
        <bgColor indexed="64"/>
      </patternFill>
    </fill>
  </fills>
  <borders count="12">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62">
    <xf numFmtId="0" fontId="0" fillId="0" borderId="0" xfId="0"/>
    <xf numFmtId="0" fontId="0" fillId="2" borderId="0" xfId="0" applyFill="1"/>
    <xf numFmtId="9" fontId="0" fillId="0" borderId="0" xfId="0" applyNumberFormat="1"/>
    <xf numFmtId="10" fontId="0" fillId="0" borderId="0" xfId="0" applyNumberFormat="1"/>
    <xf numFmtId="0" fontId="2" fillId="0" borderId="0" xfId="0" applyFont="1"/>
    <xf numFmtId="0" fontId="4" fillId="0" borderId="0" xfId="0" applyFont="1"/>
    <xf numFmtId="0" fontId="5" fillId="0" borderId="0" xfId="0" applyFont="1"/>
    <xf numFmtId="166" fontId="0" fillId="0" borderId="0" xfId="1" applyNumberFormat="1" applyFont="1"/>
    <xf numFmtId="0" fontId="2" fillId="0" borderId="0" xfId="0" applyFont="1" applyAlignment="1">
      <alignment horizontal="center"/>
    </xf>
    <xf numFmtId="0" fontId="2" fillId="0" borderId="0" xfId="0" applyFont="1" applyAlignment="1">
      <alignment horizontal="left"/>
    </xf>
    <xf numFmtId="0" fontId="3" fillId="0" borderId="0" xfId="0" applyFont="1"/>
    <xf numFmtId="10" fontId="3" fillId="0" borderId="0" xfId="0" applyNumberFormat="1" applyFont="1"/>
    <xf numFmtId="9" fontId="3" fillId="0" borderId="0" xfId="0" applyNumberFormat="1" applyFont="1"/>
    <xf numFmtId="0" fontId="0" fillId="0" borderId="2" xfId="0" applyBorder="1"/>
    <xf numFmtId="0" fontId="2" fillId="0" borderId="5" xfId="0" applyFont="1" applyBorder="1" applyAlignment="1">
      <alignment horizontal="center"/>
    </xf>
    <xf numFmtId="0" fontId="0" fillId="0" borderId="6" xfId="0" applyBorder="1"/>
    <xf numFmtId="0" fontId="0" fillId="0" borderId="7" xfId="0" applyBorder="1"/>
    <xf numFmtId="0" fontId="0" fillId="0" borderId="4" xfId="0" applyBorder="1"/>
    <xf numFmtId="0" fontId="0" fillId="0" borderId="0" xfId="0" applyBorder="1"/>
    <xf numFmtId="0" fontId="0" fillId="0" borderId="8" xfId="0" applyBorder="1"/>
    <xf numFmtId="0" fontId="0" fillId="4" borderId="0" xfId="0" applyFill="1"/>
    <xf numFmtId="0" fontId="0" fillId="5" borderId="0" xfId="0" applyFill="1"/>
    <xf numFmtId="165" fontId="0" fillId="6" borderId="2" xfId="0" applyNumberFormat="1" applyFill="1" applyBorder="1"/>
    <xf numFmtId="165" fontId="0" fillId="6" borderId="0" xfId="0" applyNumberFormat="1" applyFill="1"/>
    <xf numFmtId="9" fontId="0" fillId="6" borderId="2" xfId="1" applyNumberFormat="1" applyFont="1" applyFill="1" applyBorder="1"/>
    <xf numFmtId="9" fontId="0" fillId="6" borderId="0" xfId="1" applyNumberFormat="1" applyFont="1" applyFill="1"/>
    <xf numFmtId="0" fontId="0" fillId="6" borderId="0" xfId="0" applyFill="1"/>
    <xf numFmtId="166" fontId="0" fillId="6" borderId="0" xfId="1" applyNumberFormat="1" applyFont="1" applyFill="1"/>
    <xf numFmtId="10" fontId="0" fillId="6" borderId="0" xfId="1" applyNumberFormat="1" applyFont="1" applyFill="1"/>
    <xf numFmtId="9" fontId="0" fillId="6" borderId="0" xfId="0" applyNumberFormat="1" applyFill="1"/>
    <xf numFmtId="10" fontId="0" fillId="6" borderId="0" xfId="0" applyNumberFormat="1" applyFill="1"/>
    <xf numFmtId="8" fontId="0" fillId="6" borderId="0" xfId="0" applyNumberFormat="1" applyFill="1"/>
    <xf numFmtId="9" fontId="0" fillId="6" borderId="2" xfId="1" applyFont="1" applyFill="1" applyBorder="1"/>
    <xf numFmtId="9" fontId="0" fillId="6" borderId="0" xfId="1" applyFont="1" applyFill="1"/>
    <xf numFmtId="3" fontId="0" fillId="6" borderId="2" xfId="1" applyNumberFormat="1" applyFont="1" applyFill="1" applyBorder="1"/>
    <xf numFmtId="3" fontId="0" fillId="6" borderId="0" xfId="1" applyNumberFormat="1" applyFont="1" applyFill="1"/>
    <xf numFmtId="164" fontId="0" fillId="6" borderId="2" xfId="0" applyNumberFormat="1" applyFill="1" applyBorder="1"/>
    <xf numFmtId="164" fontId="0" fillId="6" borderId="0" xfId="0" applyNumberFormat="1" applyFill="1"/>
    <xf numFmtId="167" fontId="0" fillId="6" borderId="3" xfId="0" applyNumberFormat="1" applyFill="1" applyBorder="1"/>
    <xf numFmtId="167" fontId="0" fillId="6" borderId="0" xfId="0" applyNumberFormat="1" applyFill="1"/>
    <xf numFmtId="9" fontId="0" fillId="6" borderId="0" xfId="0" applyNumberFormat="1" applyFill="1" applyBorder="1"/>
    <xf numFmtId="9" fontId="0" fillId="6" borderId="8" xfId="0" applyNumberFormat="1" applyFill="1" applyBorder="1"/>
    <xf numFmtId="0" fontId="0" fillId="0" borderId="4" xfId="0" applyFill="1" applyBorder="1"/>
    <xf numFmtId="0" fontId="0" fillId="0" borderId="9" xfId="0" applyFill="1" applyBorder="1"/>
    <xf numFmtId="3" fontId="0" fillId="0" borderId="0" xfId="0" applyNumberFormat="1"/>
    <xf numFmtId="0" fontId="0" fillId="2" borderId="1" xfId="0" applyFill="1" applyBorder="1" applyProtection="1">
      <protection locked="0"/>
    </xf>
    <xf numFmtId="0" fontId="0" fillId="2" borderId="0" xfId="0" applyFill="1" applyProtection="1">
      <protection locked="0"/>
    </xf>
    <xf numFmtId="166" fontId="0" fillId="2" borderId="2" xfId="1" applyNumberFormat="1" applyFont="1" applyFill="1" applyBorder="1" applyProtection="1">
      <protection locked="0"/>
    </xf>
    <xf numFmtId="166" fontId="0" fillId="2" borderId="0" xfId="0" applyNumberFormat="1" applyFill="1" applyProtection="1">
      <protection locked="0"/>
    </xf>
    <xf numFmtId="10" fontId="0" fillId="2" borderId="2" xfId="1" applyNumberFormat="1" applyFont="1" applyFill="1" applyBorder="1" applyProtection="1">
      <protection locked="0"/>
    </xf>
    <xf numFmtId="10" fontId="0" fillId="2" borderId="0" xfId="0" applyNumberFormat="1" applyFill="1" applyProtection="1">
      <protection locked="0"/>
    </xf>
    <xf numFmtId="9" fontId="0" fillId="4" borderId="0" xfId="0" applyNumberFormat="1" applyFill="1" applyProtection="1">
      <protection locked="0"/>
    </xf>
    <xf numFmtId="9" fontId="0" fillId="4" borderId="0" xfId="0" applyNumberFormat="1" applyFill="1" applyBorder="1" applyProtection="1">
      <protection locked="0"/>
    </xf>
    <xf numFmtId="9" fontId="0" fillId="4" borderId="8" xfId="0" applyNumberFormat="1" applyFill="1" applyBorder="1" applyProtection="1">
      <protection locked="0"/>
    </xf>
    <xf numFmtId="9" fontId="0" fillId="4" borderId="10" xfId="0" applyNumberFormat="1" applyFill="1" applyBorder="1" applyProtection="1">
      <protection locked="0"/>
    </xf>
    <xf numFmtId="9" fontId="0" fillId="4" borderId="11" xfId="0" applyNumberFormat="1" applyFill="1" applyBorder="1" applyProtection="1">
      <protection locked="0"/>
    </xf>
    <xf numFmtId="10" fontId="0" fillId="5" borderId="0" xfId="0" applyNumberFormat="1" applyFill="1" applyProtection="1">
      <protection locked="0"/>
    </xf>
    <xf numFmtId="9" fontId="0" fillId="5" borderId="0" xfId="0" applyNumberFormat="1" applyFill="1" applyProtection="1">
      <protection locked="0"/>
    </xf>
    <xf numFmtId="3" fontId="0" fillId="5" borderId="0" xfId="0" applyNumberFormat="1" applyFill="1" applyProtection="1">
      <protection locked="0"/>
    </xf>
    <xf numFmtId="0" fontId="2" fillId="0" borderId="0" xfId="0" applyFont="1" applyAlignment="1">
      <alignment horizontal="center"/>
    </xf>
    <xf numFmtId="0" fontId="0" fillId="3" borderId="0" xfId="0" applyFill="1" applyAlignment="1">
      <alignment horizontal="center" wrapText="1"/>
    </xf>
    <xf numFmtId="0" fontId="0" fillId="0" borderId="0" xfId="0" applyAlignment="1">
      <alignment horizontal="right"/>
    </xf>
  </cellXfs>
  <cellStyles count="2">
    <cellStyle name="Normal" xfId="0" builtinId="0"/>
    <cellStyle name="Percent" xfId="1" builtinId="5"/>
  </cellStyles>
  <dxfs count="3">
    <dxf>
      <font>
        <color rgb="FFFF0000"/>
      </font>
    </dxf>
    <dxf>
      <font>
        <color rgb="FFFF0000"/>
      </font>
    </dxf>
    <dxf>
      <font>
        <color rgb="FFFF0000"/>
      </font>
    </dxf>
  </dxfs>
  <tableStyles count="0" defaultTableStyle="TableStyleMedium2" defaultPivotStyle="PivotStyleLight16"/>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14</xdr:row>
          <xdr:rowOff>38100</xdr:rowOff>
        </xdr:from>
        <xdr:to>
          <xdr:col>1</xdr:col>
          <xdr:colOff>1266825</xdr:colOff>
          <xdr:row>16</xdr:row>
          <xdr:rowOff>152400</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C15"/>
  <sheetViews>
    <sheetView tabSelected="1" workbookViewId="0">
      <selection activeCell="B2" sqref="B2"/>
    </sheetView>
  </sheetViews>
  <sheetFormatPr defaultRowHeight="15" x14ac:dyDescent="0.25"/>
  <cols>
    <col min="2" max="2" width="18.28515625" customWidth="1"/>
    <col min="3" max="3" width="179.5703125" customWidth="1"/>
  </cols>
  <sheetData>
    <row r="2" spans="2:3" x14ac:dyDescent="0.25">
      <c r="B2" s="4" t="s">
        <v>43</v>
      </c>
      <c r="C2" t="s">
        <v>44</v>
      </c>
    </row>
    <row r="4" spans="2:3" x14ac:dyDescent="0.25">
      <c r="B4" s="4" t="s">
        <v>41</v>
      </c>
      <c r="C4" t="s">
        <v>45</v>
      </c>
    </row>
    <row r="6" spans="2:3" x14ac:dyDescent="0.25">
      <c r="B6" s="4" t="s">
        <v>42</v>
      </c>
      <c r="C6" t="s">
        <v>46</v>
      </c>
    </row>
    <row r="7" spans="2:3" x14ac:dyDescent="0.25">
      <c r="C7" t="s">
        <v>48</v>
      </c>
    </row>
    <row r="8" spans="2:3" x14ac:dyDescent="0.25">
      <c r="C8" t="s">
        <v>49</v>
      </c>
    </row>
    <row r="9" spans="2:3" x14ac:dyDescent="0.25">
      <c r="C9" t="s">
        <v>50</v>
      </c>
    </row>
    <row r="11" spans="2:3" x14ac:dyDescent="0.25">
      <c r="B11" s="4" t="s">
        <v>51</v>
      </c>
    </row>
    <row r="12" spans="2:3" x14ac:dyDescent="0.25">
      <c r="B12" s="1"/>
      <c r="C12" t="s">
        <v>52</v>
      </c>
    </row>
    <row r="13" spans="2:3" x14ac:dyDescent="0.25">
      <c r="B13" s="20"/>
      <c r="C13" t="s">
        <v>53</v>
      </c>
    </row>
    <row r="14" spans="2:3" x14ac:dyDescent="0.25">
      <c r="B14" s="21"/>
      <c r="C14" t="s">
        <v>54</v>
      </c>
    </row>
    <row r="15" spans="2:3" x14ac:dyDescent="0.25">
      <c r="B15" s="26"/>
      <c r="C15" t="s">
        <v>55</v>
      </c>
    </row>
  </sheetData>
  <pageMargins left="0.7" right="0.7" top="0.75" bottom="0.75" header="0.3" footer="0.5"/>
  <pageSetup paperSize="9" orientation="portrait" verticalDpi="0" r:id="rId1"/>
  <headerFooter>
    <oddFooter>&amp;LCapital One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B1:P17"/>
  <sheetViews>
    <sheetView workbookViewId="0">
      <selection activeCell="C3" sqref="C3"/>
    </sheetView>
  </sheetViews>
  <sheetFormatPr defaultRowHeight="15" x14ac:dyDescent="0.25"/>
  <cols>
    <col min="2" max="2" width="22.28515625" bestFit="1" customWidth="1"/>
    <col min="3" max="3" width="11.5703125" bestFit="1" customWidth="1"/>
    <col min="10" max="10" width="19.28515625" bestFit="1" customWidth="1"/>
    <col min="11" max="11" width="16.140625" bestFit="1" customWidth="1"/>
    <col min="12" max="12" width="12.7109375" bestFit="1" customWidth="1"/>
    <col min="13" max="13" width="14.5703125" bestFit="1" customWidth="1"/>
    <col min="14" max="14" width="9.42578125" bestFit="1" customWidth="1"/>
  </cols>
  <sheetData>
    <row r="1" spans="2:16" ht="15.75" thickBot="1" x14ac:dyDescent="0.3">
      <c r="D1" s="59" t="s">
        <v>23</v>
      </c>
      <c r="E1" s="59"/>
      <c r="F1" s="59"/>
      <c r="G1" s="59"/>
      <c r="H1" s="59"/>
    </row>
    <row r="2" spans="2:16" ht="15.75" thickBot="1" x14ac:dyDescent="0.3">
      <c r="C2" s="4" t="s">
        <v>36</v>
      </c>
      <c r="D2" s="8" t="s">
        <v>24</v>
      </c>
      <c r="E2" s="8" t="s">
        <v>25</v>
      </c>
      <c r="F2" s="8" t="s">
        <v>27</v>
      </c>
      <c r="G2" s="8" t="s">
        <v>26</v>
      </c>
      <c r="H2" s="8" t="s">
        <v>28</v>
      </c>
      <c r="J2" s="9" t="s">
        <v>29</v>
      </c>
      <c r="K2" s="8"/>
      <c r="L2" s="14" t="s">
        <v>38</v>
      </c>
      <c r="M2" s="15"/>
      <c r="N2" s="16"/>
    </row>
    <row r="3" spans="2:16" x14ac:dyDescent="0.25">
      <c r="B3" t="s">
        <v>10</v>
      </c>
      <c r="C3" s="45">
        <v>9</v>
      </c>
      <c r="D3" s="46">
        <v>12</v>
      </c>
      <c r="E3" s="46">
        <v>11</v>
      </c>
      <c r="F3" s="46">
        <v>10</v>
      </c>
      <c r="G3" s="46">
        <v>10</v>
      </c>
      <c r="H3" s="46">
        <v>8</v>
      </c>
      <c r="J3" s="51">
        <v>0.7</v>
      </c>
      <c r="L3" s="17" t="s">
        <v>35</v>
      </c>
      <c r="M3" s="18" t="s">
        <v>31</v>
      </c>
      <c r="N3" s="19" t="s">
        <v>5</v>
      </c>
      <c r="P3" s="7"/>
    </row>
    <row r="4" spans="2:16" x14ac:dyDescent="0.25">
      <c r="B4" t="s">
        <v>7</v>
      </c>
      <c r="C4" s="47">
        <v>1.0999999999999999E-2</v>
      </c>
      <c r="D4" s="48">
        <v>1.4999999999999999E-2</v>
      </c>
      <c r="E4" s="48">
        <v>1.4E-2</v>
      </c>
      <c r="F4" s="48">
        <v>1.2E-2</v>
      </c>
      <c r="G4" s="48">
        <v>1.2999999999999999E-2</v>
      </c>
      <c r="H4" s="48">
        <v>0.01</v>
      </c>
      <c r="J4" s="51">
        <v>0.2</v>
      </c>
      <c r="L4" s="42">
        <v>1</v>
      </c>
      <c r="M4" s="52">
        <v>0.5</v>
      </c>
      <c r="N4" s="53">
        <v>0.5</v>
      </c>
      <c r="O4" s="3"/>
    </row>
    <row r="5" spans="2:16" x14ac:dyDescent="0.25">
      <c r="B5" t="s">
        <v>0</v>
      </c>
      <c r="C5" s="49">
        <v>0.19900000000000001</v>
      </c>
      <c r="D5" s="50">
        <v>0.20899999999999999</v>
      </c>
      <c r="E5" s="50">
        <v>0.22900000000000001</v>
      </c>
      <c r="F5" s="50">
        <v>0.19900000000000001</v>
      </c>
      <c r="G5" s="50">
        <v>0.20899999999999999</v>
      </c>
      <c r="H5" s="50">
        <v>0.19900000000000001</v>
      </c>
      <c r="J5" s="51">
        <v>0.1</v>
      </c>
      <c r="L5" s="42">
        <v>1.5</v>
      </c>
      <c r="M5" s="40">
        <f>(M4+M6)/2</f>
        <v>0.35</v>
      </c>
      <c r="N5" s="41">
        <f>(M4*N4+M6*N6)/(M4+M6)</f>
        <v>0.47142857142857147</v>
      </c>
    </row>
    <row r="6" spans="2:16" x14ac:dyDescent="0.25">
      <c r="C6" s="13"/>
      <c r="J6" s="2">
        <f>SUM(J3:J5)</f>
        <v>0.99999999999999989</v>
      </c>
      <c r="L6" s="42">
        <v>2</v>
      </c>
      <c r="M6" s="52">
        <v>0.2</v>
      </c>
      <c r="N6" s="53">
        <v>0.4</v>
      </c>
    </row>
    <row r="7" spans="2:16" x14ac:dyDescent="0.25">
      <c r="B7" t="s">
        <v>33</v>
      </c>
      <c r="C7" s="32">
        <f t="shared" ref="C7:H7" si="0">(6-_xlfn.RANK.AVG(C3,$C$3:$H$3))/5*$J$3+(_xlfn.RANK.AVG(C4,$C$4:$H$4))/6*$J$4+(_xlfn.RANK.AVG(C5,$C$5:$H$5))/6*$J$5</f>
        <v>0.39</v>
      </c>
      <c r="D7" s="33">
        <f t="shared" si="0"/>
        <v>0.77499999999999991</v>
      </c>
      <c r="E7" s="33">
        <f t="shared" si="0"/>
        <v>0.64333333333333331</v>
      </c>
      <c r="F7" s="33">
        <f t="shared" si="0"/>
        <v>0.56666666666666665</v>
      </c>
      <c r="G7" s="33">
        <f t="shared" si="0"/>
        <v>0.49166666666666664</v>
      </c>
      <c r="H7" s="33">
        <f t="shared" si="0"/>
        <v>0.28333333333333333</v>
      </c>
      <c r="L7" s="42">
        <v>2.5</v>
      </c>
      <c r="M7" s="40">
        <f>(M6+M8)/2</f>
        <v>0.15000000000000002</v>
      </c>
      <c r="N7" s="41">
        <f>(M6*N6+M8*N8)/(M6+M8)</f>
        <v>0.36666666666666664</v>
      </c>
    </row>
    <row r="8" spans="2:16" x14ac:dyDescent="0.25">
      <c r="B8" t="s">
        <v>34</v>
      </c>
      <c r="C8" s="34">
        <f>INDEX($L$4:$N$14,MATCH(_xlfn.RANK.AVG(C$7,$C$7:$H$7),$L$4:$L$14,0),2)*'Model inputs'!$C$15</f>
        <v>250000</v>
      </c>
      <c r="D8" s="35">
        <f>INDEX($L$4:$N$14,MATCH(_xlfn.RANK.AVG(D$7,$C$7:$H$7),$L$4:$L$14,0),2)*'Model inputs'!$C$15</f>
        <v>2500000</v>
      </c>
      <c r="E8" s="35">
        <f>INDEX($L$4:$N$14,MATCH(_xlfn.RANK.AVG(E$7,$C$7:$H$7),$L$4:$L$14,0),2)*'Model inputs'!$C$15</f>
        <v>1000000</v>
      </c>
      <c r="F8" s="35">
        <f>INDEX($L$4:$N$14,MATCH(_xlfn.RANK.AVG(F$7,$C$7:$H$7),$L$4:$L$14,0),2)*'Model inputs'!$C$15</f>
        <v>500000</v>
      </c>
      <c r="G8" s="35">
        <f>INDEX($L$4:$N$14,MATCH(_xlfn.RANK.AVG(G$7,$C$7:$H$7),$L$4:$L$14,0),2)*'Model inputs'!$C$15</f>
        <v>500000</v>
      </c>
      <c r="H8" s="35">
        <f>INDEX($L$4:$N$14,MATCH(_xlfn.RANK.AVG(H$7,$C$7:$H$7),$L$4:$L$14,0),2)*'Model inputs'!$C$15</f>
        <v>250000</v>
      </c>
      <c r="J8" s="44" t="str">
        <f>IF(SUM(C8:H8)&lt;&gt;'Model inputs'!$C$15,"Incorrect market size","")</f>
        <v/>
      </c>
      <c r="L8" s="42">
        <v>3</v>
      </c>
      <c r="M8" s="52">
        <v>0.1</v>
      </c>
      <c r="N8" s="53">
        <v>0.3</v>
      </c>
    </row>
    <row r="9" spans="2:16" x14ac:dyDescent="0.25">
      <c r="B9" t="s">
        <v>1</v>
      </c>
      <c r="C9" s="22">
        <f>C7*5000</f>
        <v>1950</v>
      </c>
      <c r="D9" s="23">
        <f t="shared" ref="D9:H9" si="1">D7*5000</f>
        <v>3874.9999999999995</v>
      </c>
      <c r="E9" s="23">
        <f t="shared" si="1"/>
        <v>3216.6666666666665</v>
      </c>
      <c r="F9" s="23">
        <f t="shared" si="1"/>
        <v>2833.3333333333335</v>
      </c>
      <c r="G9" s="23">
        <f t="shared" si="1"/>
        <v>2458.333333333333</v>
      </c>
      <c r="H9" s="23">
        <f t="shared" si="1"/>
        <v>1416.6666666666667</v>
      </c>
      <c r="L9" s="42">
        <v>3.5</v>
      </c>
      <c r="M9" s="40">
        <f>(M8+M10)/2</f>
        <v>0.1</v>
      </c>
      <c r="N9" s="41">
        <f>(M8*N8+M10*N10)/(M8+M10)</f>
        <v>0.25</v>
      </c>
    </row>
    <row r="10" spans="2:16" x14ac:dyDescent="0.25">
      <c r="B10" t="s">
        <v>5</v>
      </c>
      <c r="C10" s="24">
        <f t="shared" ref="C10:H10" si="2">INDEX($L$4:$N$14,MATCH(_xlfn.RANK.AVG(C$7,$C$7:$H$7),$L$4:$L$14,0),3)</f>
        <v>0.15</v>
      </c>
      <c r="D10" s="25">
        <f t="shared" si="2"/>
        <v>0.5</v>
      </c>
      <c r="E10" s="25">
        <f t="shared" si="2"/>
        <v>0.4</v>
      </c>
      <c r="F10" s="25">
        <f t="shared" si="2"/>
        <v>0.3</v>
      </c>
      <c r="G10" s="25">
        <f t="shared" si="2"/>
        <v>0.2</v>
      </c>
      <c r="H10" s="25">
        <f t="shared" si="2"/>
        <v>0.1</v>
      </c>
      <c r="L10" s="42">
        <v>4</v>
      </c>
      <c r="M10" s="52">
        <v>0.1</v>
      </c>
      <c r="N10" s="53">
        <v>0.2</v>
      </c>
    </row>
    <row r="11" spans="2:16" x14ac:dyDescent="0.25">
      <c r="C11" s="13"/>
      <c r="L11" s="42">
        <v>4.5</v>
      </c>
      <c r="M11" s="40">
        <f>(M10+M12)/2</f>
        <v>7.5000000000000011E-2</v>
      </c>
      <c r="N11" s="41">
        <f>(M10*N10+M12*N12)/(M10+M12)</f>
        <v>0.18333333333333332</v>
      </c>
    </row>
    <row r="12" spans="2:16" x14ac:dyDescent="0.25">
      <c r="B12" t="s">
        <v>32</v>
      </c>
      <c r="C12" s="36">
        <f>Product_PV</f>
        <v>117.95822287469234</v>
      </c>
      <c r="D12" s="37">
        <v>95.49</v>
      </c>
      <c r="E12" s="37">
        <v>134.12</v>
      </c>
      <c r="F12" s="37">
        <v>123.32</v>
      </c>
      <c r="G12" s="37">
        <v>138.12</v>
      </c>
      <c r="H12" s="37">
        <v>100.54</v>
      </c>
      <c r="J12" s="4" t="s">
        <v>37</v>
      </c>
      <c r="L12" s="42">
        <v>5</v>
      </c>
      <c r="M12" s="52">
        <v>0.05</v>
      </c>
      <c r="N12" s="53">
        <v>0.15</v>
      </c>
    </row>
    <row r="13" spans="2:16" ht="15.75" thickBot="1" x14ac:dyDescent="0.3">
      <c r="B13" t="s">
        <v>47</v>
      </c>
      <c r="C13" s="38">
        <f>C12*C8</f>
        <v>29489555.718673084</v>
      </c>
      <c r="D13" s="39">
        <f t="shared" ref="D13:H13" si="3">D12*D8</f>
        <v>238725000</v>
      </c>
      <c r="E13" s="39">
        <f t="shared" si="3"/>
        <v>134120000</v>
      </c>
      <c r="F13" s="39">
        <f t="shared" si="3"/>
        <v>61660000</v>
      </c>
      <c r="G13" s="39">
        <f t="shared" si="3"/>
        <v>69060000</v>
      </c>
      <c r="H13" s="39">
        <f t="shared" si="3"/>
        <v>25135000</v>
      </c>
      <c r="J13" s="39">
        <f>SUM(C13:H13)</f>
        <v>558189555.71867311</v>
      </c>
      <c r="L13" s="42">
        <v>5.5</v>
      </c>
      <c r="M13" s="40">
        <f>(M12+M14)/2</f>
        <v>0.05</v>
      </c>
      <c r="N13" s="41">
        <f>(M12*N12+M14*N14)/(M12+M14)</f>
        <v>0.125</v>
      </c>
    </row>
    <row r="14" spans="2:16" ht="15.75" thickBot="1" x14ac:dyDescent="0.3">
      <c r="L14" s="43">
        <v>6</v>
      </c>
      <c r="M14" s="54">
        <v>0.05</v>
      </c>
      <c r="N14" s="55">
        <v>0.1</v>
      </c>
    </row>
    <row r="15" spans="2:16" x14ac:dyDescent="0.25">
      <c r="C15" s="60" t="s">
        <v>40</v>
      </c>
      <c r="D15" s="60"/>
      <c r="E15" s="60"/>
      <c r="F15" s="60"/>
      <c r="G15" s="60"/>
      <c r="H15" s="60"/>
    </row>
    <row r="16" spans="2:16" x14ac:dyDescent="0.25">
      <c r="C16" s="60"/>
      <c r="D16" s="60"/>
      <c r="E16" s="60"/>
      <c r="F16" s="60"/>
      <c r="G16" s="60"/>
      <c r="H16" s="60"/>
      <c r="L16" s="61" t="s">
        <v>56</v>
      </c>
      <c r="M16" s="2">
        <f>M4+M6+M8+M10+M12+M14</f>
        <v>1</v>
      </c>
      <c r="N16" s="2"/>
    </row>
    <row r="17" spans="3:8" x14ac:dyDescent="0.25">
      <c r="C17" s="60"/>
      <c r="D17" s="60"/>
      <c r="E17" s="60"/>
      <c r="F17" s="60"/>
      <c r="G17" s="60"/>
      <c r="H17" s="60"/>
    </row>
  </sheetData>
  <mergeCells count="2">
    <mergeCell ref="D1:H1"/>
    <mergeCell ref="C15:H17"/>
  </mergeCells>
  <conditionalFormatting sqref="J6">
    <cfRule type="cellIs" dxfId="2" priority="2" operator="notEqual">
      <formula>1</formula>
    </cfRule>
  </conditionalFormatting>
  <conditionalFormatting sqref="M16">
    <cfRule type="cellIs" dxfId="1" priority="1" operator="notEqual">
      <formula>1</formula>
    </cfRule>
  </conditionalFormatting>
  <dataValidations count="2">
    <dataValidation type="decimal" allowBlank="1" showInputMessage="1" showErrorMessage="1" sqref="C3:H3">
      <formula1>0</formula1>
      <formula2>100</formula2>
    </dataValidation>
    <dataValidation type="decimal" allowBlank="1" showInputMessage="1" showErrorMessage="1" sqref="C4:H4 C5:H5 J3:J5 M4:N14">
      <formula1>0</formula1>
      <formula2>1</formula2>
    </dataValidation>
  </dataValidations>
  <pageMargins left="0.7" right="0.7" top="0.75" bottom="0.75" header="0.3" footer="0.5"/>
  <pageSetup paperSize="9" orientation="portrait" verticalDpi="0" r:id="rId1"/>
  <headerFooter>
    <oddFooter>&amp;LCapital One Confidential</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4" r:id="rId4" name="Button 4">
              <controlPr defaultSize="0" print="0" autoFill="0" autoPict="0" macro="[0]!update_industry">
                <anchor moveWithCells="1" sizeWithCells="1">
                  <from>
                    <xdr:col>1</xdr:col>
                    <xdr:colOff>114300</xdr:colOff>
                    <xdr:row>14</xdr:row>
                    <xdr:rowOff>38100</xdr:rowOff>
                  </from>
                  <to>
                    <xdr:col>1</xdr:col>
                    <xdr:colOff>1266825</xdr:colOff>
                    <xdr:row>16</xdr:row>
                    <xdr:rowOff>152400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3" id="{F2CEBC3B-3485-4098-9D73-46A846B32DD1}">
            <xm:f>$J$8&lt;&gt;'Model inputs'!$C$15</xm:f>
            <x14:dxf>
              <font>
                <color rgb="FFFF0000"/>
              </font>
            </x14:dxf>
          </x14:cfRule>
          <xm:sqref>J8</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theme="5" tint="0.59999389629810485"/>
  </sheetPr>
  <dimension ref="B2:F15"/>
  <sheetViews>
    <sheetView workbookViewId="0">
      <selection activeCell="C3" sqref="C3"/>
    </sheetView>
  </sheetViews>
  <sheetFormatPr defaultRowHeight="15" x14ac:dyDescent="0.25"/>
  <cols>
    <col min="2" max="2" width="34.140625" bestFit="1" customWidth="1"/>
    <col min="3" max="3" width="10.140625" bestFit="1" customWidth="1"/>
  </cols>
  <sheetData>
    <row r="2" spans="2:6" ht="18.75" x14ac:dyDescent="0.3">
      <c r="B2" s="6" t="s">
        <v>12</v>
      </c>
      <c r="C2" t="s">
        <v>36</v>
      </c>
    </row>
    <row r="3" spans="2:6" x14ac:dyDescent="0.25">
      <c r="B3" t="s">
        <v>10</v>
      </c>
      <c r="C3" s="26">
        <f>'Main Program'!C3</f>
        <v>9</v>
      </c>
      <c r="F3" s="10">
        <f>'Main Program'!C3</f>
        <v>9</v>
      </c>
    </row>
    <row r="4" spans="2:6" x14ac:dyDescent="0.25">
      <c r="B4" t="s">
        <v>7</v>
      </c>
      <c r="C4" s="27">
        <f>'Main Program'!C4</f>
        <v>1.0999999999999999E-2</v>
      </c>
      <c r="F4" s="10">
        <f>'Main Program'!C4</f>
        <v>1.0999999999999999E-2</v>
      </c>
    </row>
    <row r="5" spans="2:6" x14ac:dyDescent="0.25">
      <c r="B5" t="s">
        <v>0</v>
      </c>
      <c r="C5" s="28">
        <f>'Main Program'!C5</f>
        <v>0.19900000000000001</v>
      </c>
      <c r="D5" s="28">
        <f>(1+C5)^(1/12)-1</f>
        <v>1.5238935953279853E-2</v>
      </c>
      <c r="F5" s="11">
        <f>'Main Program'!C5</f>
        <v>0.19900000000000001</v>
      </c>
    </row>
    <row r="6" spans="2:6" x14ac:dyDescent="0.25">
      <c r="B6" t="s">
        <v>1</v>
      </c>
      <c r="C6" s="23">
        <f>'Main Program'!C9</f>
        <v>1950</v>
      </c>
      <c r="F6" s="10">
        <f>'Main Program'!C9</f>
        <v>1950</v>
      </c>
    </row>
    <row r="7" spans="2:6" x14ac:dyDescent="0.25">
      <c r="B7" t="s">
        <v>5</v>
      </c>
      <c r="C7" s="29">
        <f>'Main Program'!C10</f>
        <v>0.15</v>
      </c>
      <c r="F7" s="12">
        <f>'Main Program'!C10</f>
        <v>0.15</v>
      </c>
    </row>
    <row r="9" spans="2:6" x14ac:dyDescent="0.25">
      <c r="B9" s="5" t="s">
        <v>13</v>
      </c>
    </row>
    <row r="10" spans="2:6" x14ac:dyDescent="0.25">
      <c r="B10" t="s">
        <v>14</v>
      </c>
      <c r="C10" s="56">
        <v>5.0000000000000001E-3</v>
      </c>
    </row>
    <row r="11" spans="2:6" x14ac:dyDescent="0.25">
      <c r="B11" t="s">
        <v>16</v>
      </c>
      <c r="C11" s="56">
        <v>3.0000000000000001E-3</v>
      </c>
    </row>
    <row r="12" spans="2:6" x14ac:dyDescent="0.25">
      <c r="B12" t="s">
        <v>15</v>
      </c>
      <c r="C12" s="57">
        <v>0.05</v>
      </c>
    </row>
    <row r="13" spans="2:6" x14ac:dyDescent="0.25">
      <c r="B13" t="s">
        <v>18</v>
      </c>
      <c r="C13" s="56">
        <v>2E-3</v>
      </c>
    </row>
    <row r="14" spans="2:6" x14ac:dyDescent="0.25">
      <c r="B14" t="s">
        <v>19</v>
      </c>
      <c r="C14" s="57">
        <v>0.1</v>
      </c>
    </row>
    <row r="15" spans="2:6" x14ac:dyDescent="0.25">
      <c r="B15" t="s">
        <v>30</v>
      </c>
      <c r="C15" s="58">
        <v>5000000</v>
      </c>
    </row>
  </sheetData>
  <dataValidations count="4">
    <dataValidation type="decimal" allowBlank="1" showInputMessage="1" showErrorMessage="1" sqref="C10:C11">
      <formula1>0</formula1>
      <formula2>0.1</formula2>
    </dataValidation>
    <dataValidation type="decimal" allowBlank="1" showInputMessage="1" showErrorMessage="1" sqref="C12 C14">
      <formula1>0</formula1>
      <formula2>1</formula2>
    </dataValidation>
    <dataValidation type="decimal" allowBlank="1" showInputMessage="1" showErrorMessage="1" sqref="C13">
      <formula1>0</formula1>
      <formula2>0.01</formula2>
    </dataValidation>
    <dataValidation type="whole" allowBlank="1" showInputMessage="1" showErrorMessage="1" sqref="C15">
      <formula1>0</formula1>
      <formula2>10000000</formula2>
    </dataValidation>
  </dataValidations>
  <pageMargins left="0.7" right="0.7" top="0.75" bottom="0.75" header="0.3" footer="0.5"/>
  <pageSetup paperSize="9" orientation="portrait" verticalDpi="0" r:id="rId1"/>
  <headerFooter>
    <oddFooter>&amp;LCapital One Confidential</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3" tint="0.79998168889431442"/>
  </sheetPr>
  <dimension ref="A1:BJ16"/>
  <sheetViews>
    <sheetView workbookViewId="0">
      <selection activeCell="B3" sqref="B3"/>
    </sheetView>
  </sheetViews>
  <sheetFormatPr defaultRowHeight="15" x14ac:dyDescent="0.25"/>
  <cols>
    <col min="1" max="1" width="27.42578125" bestFit="1" customWidth="1"/>
  </cols>
  <sheetData>
    <row r="1" spans="1:62" x14ac:dyDescent="0.25">
      <c r="A1" s="4" t="s">
        <v>2</v>
      </c>
      <c r="B1" s="4">
        <v>0</v>
      </c>
      <c r="C1" s="4">
        <v>1</v>
      </c>
      <c r="D1" s="4">
        <v>2</v>
      </c>
      <c r="E1" s="4">
        <v>3</v>
      </c>
      <c r="F1" s="4">
        <v>4</v>
      </c>
      <c r="G1" s="4">
        <v>5</v>
      </c>
      <c r="H1" s="4">
        <v>6</v>
      </c>
      <c r="I1" s="4">
        <v>7</v>
      </c>
      <c r="J1" s="4">
        <v>8</v>
      </c>
      <c r="K1" s="4">
        <v>9</v>
      </c>
      <c r="L1" s="4">
        <v>10</v>
      </c>
      <c r="M1" s="4">
        <v>11</v>
      </c>
      <c r="N1" s="4">
        <v>12</v>
      </c>
      <c r="O1" s="4">
        <v>13</v>
      </c>
      <c r="P1" s="4">
        <v>14</v>
      </c>
      <c r="Q1" s="4">
        <v>15</v>
      </c>
      <c r="R1" s="4">
        <v>16</v>
      </c>
      <c r="S1" s="4">
        <v>17</v>
      </c>
      <c r="T1" s="4">
        <v>18</v>
      </c>
      <c r="U1" s="4">
        <v>19</v>
      </c>
      <c r="V1" s="4">
        <v>20</v>
      </c>
      <c r="W1" s="4">
        <v>21</v>
      </c>
      <c r="X1" s="4">
        <v>22</v>
      </c>
      <c r="Y1" s="4">
        <v>23</v>
      </c>
      <c r="Z1" s="4">
        <v>24</v>
      </c>
      <c r="AA1" s="4">
        <v>25</v>
      </c>
      <c r="AB1" s="4">
        <v>26</v>
      </c>
      <c r="AC1" s="4">
        <v>27</v>
      </c>
      <c r="AD1" s="4">
        <v>28</v>
      </c>
      <c r="AE1" s="4">
        <v>29</v>
      </c>
      <c r="AF1" s="4">
        <v>30</v>
      </c>
      <c r="AG1" s="4">
        <v>31</v>
      </c>
      <c r="AH1" s="4">
        <v>32</v>
      </c>
      <c r="AI1" s="4">
        <v>33</v>
      </c>
      <c r="AJ1" s="4">
        <v>34</v>
      </c>
      <c r="AK1" s="4">
        <v>35</v>
      </c>
      <c r="AL1" s="4">
        <v>36</v>
      </c>
      <c r="AM1" s="4">
        <v>37</v>
      </c>
      <c r="AN1" s="4">
        <v>38</v>
      </c>
      <c r="AO1" s="4">
        <v>39</v>
      </c>
      <c r="AP1" s="4">
        <v>40</v>
      </c>
      <c r="AQ1" s="4">
        <v>41</v>
      </c>
      <c r="AR1" s="4">
        <v>42</v>
      </c>
      <c r="AS1" s="4">
        <v>43</v>
      </c>
      <c r="AT1" s="4">
        <v>44</v>
      </c>
      <c r="AU1" s="4">
        <v>45</v>
      </c>
      <c r="AV1" s="4">
        <v>46</v>
      </c>
      <c r="AW1" s="4">
        <v>47</v>
      </c>
      <c r="AX1" s="4">
        <v>48</v>
      </c>
      <c r="AY1" s="4">
        <v>49</v>
      </c>
      <c r="AZ1" s="4">
        <v>50</v>
      </c>
      <c r="BA1" s="4">
        <v>51</v>
      </c>
      <c r="BB1" s="4">
        <v>52</v>
      </c>
      <c r="BC1" s="4">
        <v>53</v>
      </c>
      <c r="BD1" s="4">
        <v>54</v>
      </c>
      <c r="BE1" s="4">
        <v>55</v>
      </c>
      <c r="BF1" s="4">
        <v>56</v>
      </c>
      <c r="BG1" s="4">
        <v>57</v>
      </c>
      <c r="BH1" s="4">
        <v>58</v>
      </c>
      <c r="BI1" s="4">
        <v>59</v>
      </c>
      <c r="BJ1" s="4">
        <v>60</v>
      </c>
    </row>
    <row r="2" spans="1:62" x14ac:dyDescent="0.25">
      <c r="A2" s="4"/>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row>
    <row r="3" spans="1:62" x14ac:dyDescent="0.25">
      <c r="A3" t="s">
        <v>3</v>
      </c>
      <c r="B3" s="23">
        <f>'Model inputs'!$C$6</f>
        <v>1950</v>
      </c>
      <c r="C3" s="23">
        <f>B3*(1-'Model inputs'!$C$12)</f>
        <v>1852.5</v>
      </c>
      <c r="D3" s="23">
        <f>C3*(1-'Model inputs'!$C$12)</f>
        <v>1759.875</v>
      </c>
      <c r="E3" s="23">
        <f>D3*(1-'Model inputs'!$C$12)</f>
        <v>1671.8812499999999</v>
      </c>
      <c r="F3" s="23">
        <f>E3*(1-'Model inputs'!$C$12)</f>
        <v>1588.2871874999998</v>
      </c>
      <c r="G3" s="23">
        <f>F3*(1-'Model inputs'!$C$12)</f>
        <v>1508.8728281249998</v>
      </c>
      <c r="H3" s="23">
        <f>G3*(1-'Model inputs'!$C$12)</f>
        <v>1433.4291867187499</v>
      </c>
      <c r="I3" s="23">
        <f>H3*(1-'Model inputs'!$C$12)</f>
        <v>1361.7577273828124</v>
      </c>
      <c r="J3" s="23">
        <f>I3*(1-'Model inputs'!$C$12)</f>
        <v>1293.6698410136717</v>
      </c>
      <c r="K3" s="23">
        <f>J3*(1-'Model inputs'!$C$12)</f>
        <v>1228.9863489629879</v>
      </c>
      <c r="L3" s="23">
        <f>K3*(1-'Model inputs'!$C$12)</f>
        <v>1167.5370315148384</v>
      </c>
      <c r="M3" s="23">
        <f>L3*(1-'Model inputs'!$C$12)</f>
        <v>1109.1601799390965</v>
      </c>
      <c r="N3" s="23">
        <f>M3*(1-'Model inputs'!$C$12)</f>
        <v>1053.7021709421415</v>
      </c>
      <c r="O3" s="23">
        <f>N3*(1-'Model inputs'!$C$12)</f>
        <v>1001.0170623950344</v>
      </c>
      <c r="P3" s="23">
        <f>O3*(1-'Model inputs'!$C$12)</f>
        <v>950.96620927528261</v>
      </c>
      <c r="Q3" s="23">
        <f>P3*(1-'Model inputs'!$C$12)</f>
        <v>903.4178988115184</v>
      </c>
      <c r="R3" s="23">
        <f>Q3*(1-'Model inputs'!$C$12)</f>
        <v>858.24700387094242</v>
      </c>
      <c r="S3" s="23">
        <f>R3*(1-'Model inputs'!$C$12)</f>
        <v>815.33465367739529</v>
      </c>
      <c r="T3" s="23">
        <f>S3*(1-'Model inputs'!$C$12)</f>
        <v>774.56792099352549</v>
      </c>
      <c r="U3" s="23">
        <f>T3*(1-'Model inputs'!$C$12)</f>
        <v>735.83952494384914</v>
      </c>
      <c r="V3" s="23">
        <f>U3*(1-'Model inputs'!$C$12)</f>
        <v>699.04754869665669</v>
      </c>
      <c r="W3" s="23">
        <f>V3*(1-'Model inputs'!$C$12)</f>
        <v>664.09517126182379</v>
      </c>
      <c r="X3" s="23">
        <f>W3*(1-'Model inputs'!$C$12)</f>
        <v>630.89041269873258</v>
      </c>
      <c r="Y3" s="23">
        <f>X3*(1-'Model inputs'!$C$12)</f>
        <v>599.34589206379587</v>
      </c>
      <c r="Z3" s="23">
        <f>Y3*(1-'Model inputs'!$C$12)</f>
        <v>569.3785974606061</v>
      </c>
      <c r="AA3" s="23">
        <f>Z3*(1-'Model inputs'!$C$12)</f>
        <v>540.90966758757577</v>
      </c>
      <c r="AB3" s="23">
        <f>AA3*(1-'Model inputs'!$C$12)</f>
        <v>513.864184208197</v>
      </c>
      <c r="AC3" s="23">
        <f>AB3*(1-'Model inputs'!$C$12)</f>
        <v>488.17097499778714</v>
      </c>
      <c r="AD3" s="23">
        <f>AC3*(1-'Model inputs'!$C$12)</f>
        <v>463.76242624789774</v>
      </c>
      <c r="AE3" s="23">
        <f>AD3*(1-'Model inputs'!$C$12)</f>
        <v>440.57430493550282</v>
      </c>
      <c r="AF3" s="23">
        <f>AE3*(1-'Model inputs'!$C$12)</f>
        <v>418.54558968872766</v>
      </c>
      <c r="AG3" s="23">
        <f>AF3*(1-'Model inputs'!$C$12)</f>
        <v>397.61831020429128</v>
      </c>
      <c r="AH3" s="23">
        <f>AG3*(1-'Model inputs'!$C$12)</f>
        <v>377.73739469407667</v>
      </c>
      <c r="AI3" s="23">
        <f>AH3*(1-'Model inputs'!$C$12)</f>
        <v>358.85052495937282</v>
      </c>
      <c r="AJ3" s="23">
        <f>AI3*(1-'Model inputs'!$C$12)</f>
        <v>340.90799871140416</v>
      </c>
      <c r="AK3" s="23">
        <f>AJ3*(1-'Model inputs'!$C$12)</f>
        <v>323.86259877583393</v>
      </c>
      <c r="AL3" s="23">
        <f>AK3*(1-'Model inputs'!$C$12)</f>
        <v>307.66946883704225</v>
      </c>
      <c r="AM3" s="23">
        <f>AL3*(1-'Model inputs'!$C$12)</f>
        <v>292.28599539519013</v>
      </c>
      <c r="AN3" s="23">
        <f>AM3*(1-'Model inputs'!$C$12)</f>
        <v>277.67169562543063</v>
      </c>
      <c r="AO3" s="23">
        <f>AN3*(1-'Model inputs'!$C$12)</f>
        <v>263.78811084415906</v>
      </c>
      <c r="AP3" s="23">
        <f>AO3*(1-'Model inputs'!$C$12)</f>
        <v>250.5987053019511</v>
      </c>
      <c r="AQ3" s="23">
        <f>AP3*(1-'Model inputs'!$C$12)</f>
        <v>238.06877003685352</v>
      </c>
      <c r="AR3" s="23">
        <f>AQ3*(1-'Model inputs'!$C$12)</f>
        <v>226.16533153501084</v>
      </c>
      <c r="AS3" s="23">
        <f>AR3*(1-'Model inputs'!$C$12)</f>
        <v>214.85706495826028</v>
      </c>
      <c r="AT3" s="23">
        <f>AS3*(1-'Model inputs'!$C$12)</f>
        <v>204.11421171034726</v>
      </c>
      <c r="AU3" s="23">
        <f>AT3*(1-'Model inputs'!$C$12)</f>
        <v>193.90850112482988</v>
      </c>
      <c r="AV3" s="23">
        <f>AU3*(1-'Model inputs'!$C$12)</f>
        <v>184.21307606858838</v>
      </c>
      <c r="AW3" s="23">
        <f>AV3*(1-'Model inputs'!$C$12)</f>
        <v>175.00242226515894</v>
      </c>
      <c r="AX3" s="23">
        <f>AW3*(1-'Model inputs'!$C$12)</f>
        <v>166.25230115190098</v>
      </c>
      <c r="AY3" s="23">
        <f>AX3*(1-'Model inputs'!$C$12)</f>
        <v>157.93968609430593</v>
      </c>
      <c r="AZ3" s="23">
        <f>AY3*(1-'Model inputs'!$C$12)</f>
        <v>150.04270178959064</v>
      </c>
      <c r="BA3" s="23">
        <f>AZ3*(1-'Model inputs'!$C$12)</f>
        <v>142.5405667001111</v>
      </c>
      <c r="BB3" s="23">
        <f>BA3*(1-'Model inputs'!$C$12)</f>
        <v>135.41353836510555</v>
      </c>
      <c r="BC3" s="23">
        <f>BB3*(1-'Model inputs'!$C$12)</f>
        <v>128.64286144685028</v>
      </c>
      <c r="BD3" s="23">
        <f>BC3*(1-'Model inputs'!$C$12)</f>
        <v>122.21071837450775</v>
      </c>
      <c r="BE3" s="23">
        <f>BD3*(1-'Model inputs'!$C$12)</f>
        <v>116.10018245578236</v>
      </c>
      <c r="BF3" s="23">
        <f>BE3*(1-'Model inputs'!$C$12)</f>
        <v>110.29517333299323</v>
      </c>
      <c r="BG3" s="23">
        <f>BF3*(1-'Model inputs'!$C$12)</f>
        <v>104.78041466634356</v>
      </c>
      <c r="BH3" s="23">
        <f>BG3*(1-'Model inputs'!$C$12)</f>
        <v>99.541393933026384</v>
      </c>
      <c r="BI3" s="23">
        <f>BH3*(1-'Model inputs'!$C$12)</f>
        <v>94.564324236375057</v>
      </c>
      <c r="BJ3" s="23">
        <f>BI3*(1-'Model inputs'!$C$12)</f>
        <v>89.836108024556296</v>
      </c>
    </row>
    <row r="4" spans="1:62" x14ac:dyDescent="0.25">
      <c r="A4" t="s">
        <v>4</v>
      </c>
      <c r="B4" s="29">
        <v>1</v>
      </c>
      <c r="C4" s="27">
        <f>B$4*(1-C$5-C$6)</f>
        <v>0.995</v>
      </c>
      <c r="D4" s="27">
        <f t="shared" ref="D4:BJ4" si="0">C$4*(1-D$5-D$6)</f>
        <v>0.99002500000000004</v>
      </c>
      <c r="E4" s="27">
        <f t="shared" si="0"/>
        <v>0.98507487500000002</v>
      </c>
      <c r="F4" s="27">
        <f t="shared" si="0"/>
        <v>0.98014950062500006</v>
      </c>
      <c r="G4" s="27">
        <f t="shared" si="0"/>
        <v>0.97524875312187509</v>
      </c>
      <c r="H4" s="27">
        <f t="shared" si="0"/>
        <v>0.97037250935626573</v>
      </c>
      <c r="I4" s="27">
        <f t="shared" si="0"/>
        <v>0.96260952928141563</v>
      </c>
      <c r="J4" s="27">
        <f t="shared" si="0"/>
        <v>0.95490865304716432</v>
      </c>
      <c r="K4" s="27">
        <f t="shared" si="0"/>
        <v>0.85013527404085854</v>
      </c>
      <c r="L4" s="27">
        <f t="shared" si="0"/>
        <v>0.84333419184853164</v>
      </c>
      <c r="M4" s="27">
        <f t="shared" si="0"/>
        <v>0.83658751831374334</v>
      </c>
      <c r="N4" s="27">
        <f t="shared" si="0"/>
        <v>0.82989481816723343</v>
      </c>
      <c r="O4" s="27">
        <f t="shared" si="0"/>
        <v>0.82325565962189551</v>
      </c>
      <c r="P4" s="27">
        <f t="shared" si="0"/>
        <v>0.81666961434492036</v>
      </c>
      <c r="Q4" s="27">
        <f t="shared" si="0"/>
        <v>0.81013625743016104</v>
      </c>
      <c r="R4" s="27">
        <f t="shared" si="0"/>
        <v>0.80365516737071974</v>
      </c>
      <c r="S4" s="27">
        <f t="shared" si="0"/>
        <v>0.79722592603175402</v>
      </c>
      <c r="T4" s="27">
        <f t="shared" si="0"/>
        <v>0.79084811862350002</v>
      </c>
      <c r="U4" s="27">
        <f t="shared" si="0"/>
        <v>0.78452133367451204</v>
      </c>
      <c r="V4" s="27">
        <f>U$4*(1-V$5-V$6)</f>
        <v>0.77824516300511593</v>
      </c>
      <c r="W4" s="27">
        <f t="shared" si="0"/>
        <v>0.77201920170107496</v>
      </c>
      <c r="X4" s="27">
        <f t="shared" si="0"/>
        <v>0.76584304808746639</v>
      </c>
      <c r="Y4" s="27">
        <f t="shared" si="0"/>
        <v>0.75971630370276666</v>
      </c>
      <c r="Z4" s="27">
        <f t="shared" si="0"/>
        <v>0.75363857327314454</v>
      </c>
      <c r="AA4" s="27">
        <f t="shared" si="0"/>
        <v>0.74760946468695932</v>
      </c>
      <c r="AB4" s="27">
        <f t="shared" si="0"/>
        <v>0.7416285889694636</v>
      </c>
      <c r="AC4" s="27">
        <f t="shared" si="0"/>
        <v>0.73569556025770788</v>
      </c>
      <c r="AD4" s="27">
        <f t="shared" si="0"/>
        <v>0.7298099957756462</v>
      </c>
      <c r="AE4" s="27">
        <f t="shared" si="0"/>
        <v>0.72397151580944108</v>
      </c>
      <c r="AF4" s="27">
        <f t="shared" si="0"/>
        <v>0.71817974368296555</v>
      </c>
      <c r="AG4" s="27">
        <f t="shared" si="0"/>
        <v>0.71243430573350186</v>
      </c>
      <c r="AH4" s="27">
        <f t="shared" si="0"/>
        <v>0.70673483128763381</v>
      </c>
      <c r="AI4" s="27">
        <f t="shared" si="0"/>
        <v>0.70108095263733272</v>
      </c>
      <c r="AJ4" s="27">
        <f t="shared" si="0"/>
        <v>0.69547230501623403</v>
      </c>
      <c r="AK4" s="27">
        <f t="shared" si="0"/>
        <v>0.68990852657610413</v>
      </c>
      <c r="AL4" s="27">
        <f t="shared" si="0"/>
        <v>0.68438925836349529</v>
      </c>
      <c r="AM4" s="27">
        <f t="shared" si="0"/>
        <v>0.67891414429658736</v>
      </c>
      <c r="AN4" s="27">
        <f t="shared" si="0"/>
        <v>0.67348283114221463</v>
      </c>
      <c r="AO4" s="27">
        <f t="shared" si="0"/>
        <v>0.66809496849307692</v>
      </c>
      <c r="AP4" s="27">
        <f t="shared" si="0"/>
        <v>0.66275020874513235</v>
      </c>
      <c r="AQ4" s="27">
        <f t="shared" si="0"/>
        <v>0.65744820707517126</v>
      </c>
      <c r="AR4" s="27">
        <f t="shared" si="0"/>
        <v>0.65218862141856992</v>
      </c>
      <c r="AS4" s="27">
        <f t="shared" si="0"/>
        <v>0.64697111244722139</v>
      </c>
      <c r="AT4" s="27">
        <f t="shared" si="0"/>
        <v>0.64179534354764356</v>
      </c>
      <c r="AU4" s="27">
        <f t="shared" si="0"/>
        <v>0.63666098079926237</v>
      </c>
      <c r="AV4" s="27">
        <f t="shared" si="0"/>
        <v>0.6315676929528683</v>
      </c>
      <c r="AW4" s="27">
        <f t="shared" si="0"/>
        <v>0.6265151514092453</v>
      </c>
      <c r="AX4" s="27">
        <f t="shared" si="0"/>
        <v>0.62150303019797137</v>
      </c>
      <c r="AY4" s="27">
        <f t="shared" si="0"/>
        <v>0.61653100595638755</v>
      </c>
      <c r="AZ4" s="27">
        <f t="shared" si="0"/>
        <v>0.61159875790873641</v>
      </c>
      <c r="BA4" s="27">
        <f t="shared" si="0"/>
        <v>0.60670596784546649</v>
      </c>
      <c r="BB4" s="27">
        <f t="shared" si="0"/>
        <v>0.60185232010270273</v>
      </c>
      <c r="BC4" s="27">
        <f t="shared" si="0"/>
        <v>0.59703750154188107</v>
      </c>
      <c r="BD4" s="27">
        <f t="shared" si="0"/>
        <v>0.59226120152954598</v>
      </c>
      <c r="BE4" s="27">
        <f t="shared" si="0"/>
        <v>0.58752311191730966</v>
      </c>
      <c r="BF4" s="27">
        <f t="shared" si="0"/>
        <v>0.58282292702197114</v>
      </c>
      <c r="BG4" s="27">
        <f t="shared" si="0"/>
        <v>0.57816034360579538</v>
      </c>
      <c r="BH4" s="27">
        <f t="shared" si="0"/>
        <v>0.57353506085694905</v>
      </c>
      <c r="BI4" s="27">
        <f t="shared" si="0"/>
        <v>0.5689467803700935</v>
      </c>
      <c r="BJ4" s="27">
        <f t="shared" si="0"/>
        <v>0.56439520612713279</v>
      </c>
    </row>
    <row r="5" spans="1:62" x14ac:dyDescent="0.25">
      <c r="A5" t="s">
        <v>11</v>
      </c>
      <c r="B5" s="30">
        <v>0</v>
      </c>
      <c r="C5" s="30">
        <v>0</v>
      </c>
      <c r="D5" s="30">
        <v>0</v>
      </c>
      <c r="E5" s="30">
        <v>0</v>
      </c>
      <c r="F5" s="30">
        <v>0</v>
      </c>
      <c r="G5" s="30">
        <v>0</v>
      </c>
      <c r="H5" s="30">
        <v>0</v>
      </c>
      <c r="I5" s="30">
        <f>'Model inputs'!$C$11</f>
        <v>3.0000000000000001E-3</v>
      </c>
      <c r="J5" s="30">
        <f>'Model inputs'!$C$11</f>
        <v>3.0000000000000001E-3</v>
      </c>
      <c r="K5" s="30">
        <f>'Model inputs'!$C$11</f>
        <v>3.0000000000000001E-3</v>
      </c>
      <c r="L5" s="30">
        <f>'Model inputs'!$C$11</f>
        <v>3.0000000000000001E-3</v>
      </c>
      <c r="M5" s="30">
        <f>'Model inputs'!$C$11</f>
        <v>3.0000000000000001E-3</v>
      </c>
      <c r="N5" s="30">
        <f>'Model inputs'!$C$11</f>
        <v>3.0000000000000001E-3</v>
      </c>
      <c r="O5" s="30">
        <f>'Model inputs'!$C$11</f>
        <v>3.0000000000000001E-3</v>
      </c>
      <c r="P5" s="30">
        <f>'Model inputs'!$C$11</f>
        <v>3.0000000000000001E-3</v>
      </c>
      <c r="Q5" s="30">
        <f>'Model inputs'!$C$11</f>
        <v>3.0000000000000001E-3</v>
      </c>
      <c r="R5" s="30">
        <f>'Model inputs'!$C$11</f>
        <v>3.0000000000000001E-3</v>
      </c>
      <c r="S5" s="30">
        <f>'Model inputs'!$C$11</f>
        <v>3.0000000000000001E-3</v>
      </c>
      <c r="T5" s="30">
        <f>'Model inputs'!$C$11</f>
        <v>3.0000000000000001E-3</v>
      </c>
      <c r="U5" s="30">
        <f>'Model inputs'!$C$11</f>
        <v>3.0000000000000001E-3</v>
      </c>
      <c r="V5" s="30">
        <f>'Model inputs'!$C$11</f>
        <v>3.0000000000000001E-3</v>
      </c>
      <c r="W5" s="30">
        <f>'Model inputs'!$C$11</f>
        <v>3.0000000000000001E-3</v>
      </c>
      <c r="X5" s="30">
        <f>'Model inputs'!$C$11</f>
        <v>3.0000000000000001E-3</v>
      </c>
      <c r="Y5" s="30">
        <f>'Model inputs'!$C$11</f>
        <v>3.0000000000000001E-3</v>
      </c>
      <c r="Z5" s="30">
        <f>'Model inputs'!$C$11</f>
        <v>3.0000000000000001E-3</v>
      </c>
      <c r="AA5" s="30">
        <f>'Model inputs'!$C$11</f>
        <v>3.0000000000000001E-3</v>
      </c>
      <c r="AB5" s="30">
        <f>'Model inputs'!$C$11</f>
        <v>3.0000000000000001E-3</v>
      </c>
      <c r="AC5" s="30">
        <f>'Model inputs'!$C$11</f>
        <v>3.0000000000000001E-3</v>
      </c>
      <c r="AD5" s="30">
        <f>'Model inputs'!$C$11</f>
        <v>3.0000000000000001E-3</v>
      </c>
      <c r="AE5" s="30">
        <f>'Model inputs'!$C$11</f>
        <v>3.0000000000000001E-3</v>
      </c>
      <c r="AF5" s="30">
        <f>'Model inputs'!$C$11</f>
        <v>3.0000000000000001E-3</v>
      </c>
      <c r="AG5" s="30">
        <f>'Model inputs'!$C$11</f>
        <v>3.0000000000000001E-3</v>
      </c>
      <c r="AH5" s="30">
        <f>'Model inputs'!$C$11</f>
        <v>3.0000000000000001E-3</v>
      </c>
      <c r="AI5" s="30">
        <f>'Model inputs'!$C$11</f>
        <v>3.0000000000000001E-3</v>
      </c>
      <c r="AJ5" s="30">
        <f>'Model inputs'!$C$11</f>
        <v>3.0000000000000001E-3</v>
      </c>
      <c r="AK5" s="30">
        <f>'Model inputs'!$C$11</f>
        <v>3.0000000000000001E-3</v>
      </c>
      <c r="AL5" s="30">
        <f>'Model inputs'!$C$11</f>
        <v>3.0000000000000001E-3</v>
      </c>
      <c r="AM5" s="30">
        <f>'Model inputs'!$C$11</f>
        <v>3.0000000000000001E-3</v>
      </c>
      <c r="AN5" s="30">
        <f>'Model inputs'!$C$11</f>
        <v>3.0000000000000001E-3</v>
      </c>
      <c r="AO5" s="30">
        <f>'Model inputs'!$C$11</f>
        <v>3.0000000000000001E-3</v>
      </c>
      <c r="AP5" s="30">
        <f>'Model inputs'!$C$11</f>
        <v>3.0000000000000001E-3</v>
      </c>
      <c r="AQ5" s="30">
        <f>'Model inputs'!$C$11</f>
        <v>3.0000000000000001E-3</v>
      </c>
      <c r="AR5" s="30">
        <f>'Model inputs'!$C$11</f>
        <v>3.0000000000000001E-3</v>
      </c>
      <c r="AS5" s="30">
        <f>'Model inputs'!$C$11</f>
        <v>3.0000000000000001E-3</v>
      </c>
      <c r="AT5" s="30">
        <f>'Model inputs'!$C$11</f>
        <v>3.0000000000000001E-3</v>
      </c>
      <c r="AU5" s="30">
        <f>'Model inputs'!$C$11</f>
        <v>3.0000000000000001E-3</v>
      </c>
      <c r="AV5" s="30">
        <f>'Model inputs'!$C$11</f>
        <v>3.0000000000000001E-3</v>
      </c>
      <c r="AW5" s="30">
        <f>'Model inputs'!$C$11</f>
        <v>3.0000000000000001E-3</v>
      </c>
      <c r="AX5" s="30">
        <f>'Model inputs'!$C$11</f>
        <v>3.0000000000000001E-3</v>
      </c>
      <c r="AY5" s="30">
        <f>'Model inputs'!$C$11</f>
        <v>3.0000000000000001E-3</v>
      </c>
      <c r="AZ5" s="30">
        <f>'Model inputs'!$C$11</f>
        <v>3.0000000000000001E-3</v>
      </c>
      <c r="BA5" s="30">
        <f>'Model inputs'!$C$11</f>
        <v>3.0000000000000001E-3</v>
      </c>
      <c r="BB5" s="30">
        <f>'Model inputs'!$C$11</f>
        <v>3.0000000000000001E-3</v>
      </c>
      <c r="BC5" s="30">
        <f>'Model inputs'!$C$11</f>
        <v>3.0000000000000001E-3</v>
      </c>
      <c r="BD5" s="30">
        <f>'Model inputs'!$C$11</f>
        <v>3.0000000000000001E-3</v>
      </c>
      <c r="BE5" s="30">
        <f>'Model inputs'!$C$11</f>
        <v>3.0000000000000001E-3</v>
      </c>
      <c r="BF5" s="30">
        <f>'Model inputs'!$C$11</f>
        <v>3.0000000000000001E-3</v>
      </c>
      <c r="BG5" s="30">
        <f>'Model inputs'!$C$11</f>
        <v>3.0000000000000001E-3</v>
      </c>
      <c r="BH5" s="30">
        <f>'Model inputs'!$C$11</f>
        <v>3.0000000000000001E-3</v>
      </c>
      <c r="BI5" s="30">
        <f>'Model inputs'!$C$11</f>
        <v>3.0000000000000001E-3</v>
      </c>
      <c r="BJ5" s="30">
        <f>'Model inputs'!$C$11</f>
        <v>3.0000000000000001E-3</v>
      </c>
    </row>
    <row r="6" spans="1:62" x14ac:dyDescent="0.25">
      <c r="A6" t="s">
        <v>39</v>
      </c>
      <c r="B6" s="30">
        <v>0</v>
      </c>
      <c r="C6" s="30">
        <f>IF(C$1='Model inputs'!$C$3,('Model inputs'!$C$7-(1-B$4+C$5))/B$4,'Model inputs'!$C$10)</f>
        <v>5.0000000000000001E-3</v>
      </c>
      <c r="D6" s="30">
        <f>IF(D$1='Model inputs'!$C$3,('Model inputs'!$C$7-(1-C$4+D$5))/C$4,'Model inputs'!$C$10)</f>
        <v>5.0000000000000001E-3</v>
      </c>
      <c r="E6" s="30">
        <f>IF(E$1='Model inputs'!$C$3,('Model inputs'!$C$7-(1-D$4+E$5))/D$4,'Model inputs'!$C$10)</f>
        <v>5.0000000000000001E-3</v>
      </c>
      <c r="F6" s="30">
        <f>IF(F$1='Model inputs'!$C$3,('Model inputs'!$C$7-(1-E$4+F$5))/E$4,'Model inputs'!$C$10)</f>
        <v>5.0000000000000001E-3</v>
      </c>
      <c r="G6" s="30">
        <f>IF(G$1='Model inputs'!$C$3,('Model inputs'!$C$7-(1-F$4+G$5))/F$4,'Model inputs'!$C$10)</f>
        <v>5.0000000000000001E-3</v>
      </c>
      <c r="H6" s="30">
        <f>IF(H$1='Model inputs'!$C$3,('Model inputs'!$C$7-(1-G$4+H$5))/G$4,'Model inputs'!$C$10)</f>
        <v>5.0000000000000001E-3</v>
      </c>
      <c r="I6" s="30">
        <f>IF(I$1='Model inputs'!$C$3,('Model inputs'!$C$7-(1-H$4+I$5))/H$4,'Model inputs'!$C$10)</f>
        <v>5.0000000000000001E-3</v>
      </c>
      <c r="J6" s="30">
        <f>IF(J$1='Model inputs'!$C$3,('Model inputs'!$C$7-(1-I$4+J$5))/I$4,'Model inputs'!$C$10)</f>
        <v>5.0000000000000001E-3</v>
      </c>
      <c r="K6" s="30">
        <f>IF(K$1='Model inputs'!$C$3,('Model inputs'!$C$7-(1-J$4+K$5))/J$4,'Model inputs'!$C$10)</f>
        <v>0.10672083944570863</v>
      </c>
      <c r="L6" s="30">
        <f>IF(L$1='Model inputs'!$C$3,('Model inputs'!$C$7-(1-K$4+L$5))/K$4,'Model inputs'!$C$10)</f>
        <v>5.0000000000000001E-3</v>
      </c>
      <c r="M6" s="30">
        <f>IF(M$1='Model inputs'!$C$3,('Model inputs'!$C$7-(1-L$4+M$5))/L$4,'Model inputs'!$C$10)</f>
        <v>5.0000000000000001E-3</v>
      </c>
      <c r="N6" s="30">
        <f>IF(N$1='Model inputs'!$C$3,('Model inputs'!$C$7-(1-M$4+N$5))/M$4,'Model inputs'!$C$10)</f>
        <v>5.0000000000000001E-3</v>
      </c>
      <c r="O6" s="30">
        <f>IF(O$1='Model inputs'!$C$3,('Model inputs'!$C$7-(1-N$4+O$5))/N$4,'Model inputs'!$C$10)</f>
        <v>5.0000000000000001E-3</v>
      </c>
      <c r="P6" s="30">
        <f>IF(P$1='Model inputs'!$C$3,('Model inputs'!$C$7-(1-O$4+P$5))/O$4,'Model inputs'!$C$10)</f>
        <v>5.0000000000000001E-3</v>
      </c>
      <c r="Q6" s="30">
        <f>IF(Q$1='Model inputs'!$C$3,('Model inputs'!$C$7-(1-P$4+Q$5))/P$4,'Model inputs'!$C$10)</f>
        <v>5.0000000000000001E-3</v>
      </c>
      <c r="R6" s="30">
        <f>IF(R$1='Model inputs'!$C$3,('Model inputs'!$C$7-(1-Q$4+R$5))/Q$4,'Model inputs'!$C$10)</f>
        <v>5.0000000000000001E-3</v>
      </c>
      <c r="S6" s="30">
        <f>IF(S$1='Model inputs'!$C$3,('Model inputs'!$C$7-(1-R$4+S$5))/R$4,'Model inputs'!$C$10)</f>
        <v>5.0000000000000001E-3</v>
      </c>
      <c r="T6" s="30">
        <f>IF(T$1='Model inputs'!$C$3,('Model inputs'!$C$7-(1-S$4+T$5))/S$4,'Model inputs'!$C$10)</f>
        <v>5.0000000000000001E-3</v>
      </c>
      <c r="U6" s="30">
        <f>IF(U$1='Model inputs'!$C$3,('Model inputs'!$C$7-(1-T$4+U$5))/T$4,'Model inputs'!$C$10)</f>
        <v>5.0000000000000001E-3</v>
      </c>
      <c r="V6" s="30">
        <f>IF(V$1='Model inputs'!$C$3,('Model inputs'!$C$7-(1-U$4+V$5))/U$4,'Model inputs'!$C$10)</f>
        <v>5.0000000000000001E-3</v>
      </c>
      <c r="W6" s="30">
        <f>IF(W$1='Model inputs'!$C$3,('Model inputs'!$C$7-(1-V$4+W$5))/V$4,'Model inputs'!$C$10)</f>
        <v>5.0000000000000001E-3</v>
      </c>
      <c r="X6" s="30">
        <f>IF(X$1='Model inputs'!$C$3,('Model inputs'!$C$7-(1-W$4+X$5))/W$4,'Model inputs'!$C$10)</f>
        <v>5.0000000000000001E-3</v>
      </c>
      <c r="Y6" s="30">
        <f>IF(Y$1='Model inputs'!$C$3,('Model inputs'!$C$7-(1-X$4+Y$5))/X$4,'Model inputs'!$C$10)</f>
        <v>5.0000000000000001E-3</v>
      </c>
      <c r="Z6" s="30">
        <f>IF(Z$1='Model inputs'!$C$3,('Model inputs'!$C$7-(1-Y$4+Z$5))/Y$4,'Model inputs'!$C$10)</f>
        <v>5.0000000000000001E-3</v>
      </c>
      <c r="AA6" s="30">
        <f>IF(AA$1='Model inputs'!$C$3,('Model inputs'!$C$7-(1-Z$4+AA$5))/Z$4,'Model inputs'!$C$10)</f>
        <v>5.0000000000000001E-3</v>
      </c>
      <c r="AB6" s="30">
        <f>IF(AB$1='Model inputs'!$C$3,('Model inputs'!$C$7-(1-AA$4+AB$5))/AA$4,'Model inputs'!$C$10)</f>
        <v>5.0000000000000001E-3</v>
      </c>
      <c r="AC6" s="30">
        <f>IF(AC$1='Model inputs'!$C$3,('Model inputs'!$C$7-(1-AB$4+AC$5))/AB$4,'Model inputs'!$C$10)</f>
        <v>5.0000000000000001E-3</v>
      </c>
      <c r="AD6" s="30">
        <f>IF(AD$1='Model inputs'!$C$3,('Model inputs'!$C$7-(1-AC$4+AD$5))/AC$4,'Model inputs'!$C$10)</f>
        <v>5.0000000000000001E-3</v>
      </c>
      <c r="AE6" s="30">
        <f>IF(AE$1='Model inputs'!$C$3,('Model inputs'!$C$7-(1-AD$4+AE$5))/AD$4,'Model inputs'!$C$10)</f>
        <v>5.0000000000000001E-3</v>
      </c>
      <c r="AF6" s="30">
        <f>IF(AF$1='Model inputs'!$C$3,('Model inputs'!$C$7-(1-AE$4+AF$5))/AE$4,'Model inputs'!$C$10)</f>
        <v>5.0000000000000001E-3</v>
      </c>
      <c r="AG6" s="30">
        <f>IF(AG$1='Model inputs'!$C$3,('Model inputs'!$C$7-(1-AF$4+AG$5))/AF$4,'Model inputs'!$C$10)</f>
        <v>5.0000000000000001E-3</v>
      </c>
      <c r="AH6" s="30">
        <f>IF(AH$1='Model inputs'!$C$3,('Model inputs'!$C$7-(1-AG$4+AH$5))/AG$4,'Model inputs'!$C$10)</f>
        <v>5.0000000000000001E-3</v>
      </c>
      <c r="AI6" s="30">
        <f>IF(AI$1='Model inputs'!$C$3,('Model inputs'!$C$7-(1-AH$4+AI$5))/AH$4,'Model inputs'!$C$10)</f>
        <v>5.0000000000000001E-3</v>
      </c>
      <c r="AJ6" s="30">
        <f>IF(AJ$1='Model inputs'!$C$3,('Model inputs'!$C$7-(1-AI$4+AJ$5))/AI$4,'Model inputs'!$C$10)</f>
        <v>5.0000000000000001E-3</v>
      </c>
      <c r="AK6" s="30">
        <f>IF(AK$1='Model inputs'!$C$3,('Model inputs'!$C$7-(1-AJ$4+AK$5))/AJ$4,'Model inputs'!$C$10)</f>
        <v>5.0000000000000001E-3</v>
      </c>
      <c r="AL6" s="30">
        <f>IF(AL$1='Model inputs'!$C$3,('Model inputs'!$C$7-(1-AK$4+AL$5))/AK$4,'Model inputs'!$C$10)</f>
        <v>5.0000000000000001E-3</v>
      </c>
      <c r="AM6" s="30">
        <f>IF(AM$1='Model inputs'!$C$3,('Model inputs'!$C$7-(1-AL$4+AM$5))/AL$4,'Model inputs'!$C$10)</f>
        <v>5.0000000000000001E-3</v>
      </c>
      <c r="AN6" s="30">
        <f>IF(AN$1='Model inputs'!$C$3,('Model inputs'!$C$7-(1-AM$4+AN$5))/AM$4,'Model inputs'!$C$10)</f>
        <v>5.0000000000000001E-3</v>
      </c>
      <c r="AO6" s="30">
        <f>IF(AO$1='Model inputs'!$C$3,('Model inputs'!$C$7-(1-AN$4+AO$5))/AN$4,'Model inputs'!$C$10)</f>
        <v>5.0000000000000001E-3</v>
      </c>
      <c r="AP6" s="30">
        <f>IF(AP$1='Model inputs'!$C$3,('Model inputs'!$C$7-(1-AO$4+AP$5))/AO$4,'Model inputs'!$C$10)</f>
        <v>5.0000000000000001E-3</v>
      </c>
      <c r="AQ6" s="30">
        <f>IF(AQ$1='Model inputs'!$C$3,('Model inputs'!$C$7-(1-AP$4+AQ$5))/AP$4,'Model inputs'!$C$10)</f>
        <v>5.0000000000000001E-3</v>
      </c>
      <c r="AR6" s="30">
        <f>IF(AR$1='Model inputs'!$C$3,('Model inputs'!$C$7-(1-AQ$4+AR$5))/AQ$4,'Model inputs'!$C$10)</f>
        <v>5.0000000000000001E-3</v>
      </c>
      <c r="AS6" s="30">
        <f>IF(AS$1='Model inputs'!$C$3,('Model inputs'!$C$7-(1-AR$4+AS$5))/AR$4,'Model inputs'!$C$10)</f>
        <v>5.0000000000000001E-3</v>
      </c>
      <c r="AT6" s="30">
        <f>IF(AT$1='Model inputs'!$C$3,('Model inputs'!$C$7-(1-AS$4+AT$5))/AS$4,'Model inputs'!$C$10)</f>
        <v>5.0000000000000001E-3</v>
      </c>
      <c r="AU6" s="30">
        <f>IF(AU$1='Model inputs'!$C$3,('Model inputs'!$C$7-(1-AT$4+AU$5))/AT$4,'Model inputs'!$C$10)</f>
        <v>5.0000000000000001E-3</v>
      </c>
      <c r="AV6" s="30">
        <f>IF(AV$1='Model inputs'!$C$3,('Model inputs'!$C$7-(1-AU$4+AV$5))/AU$4,'Model inputs'!$C$10)</f>
        <v>5.0000000000000001E-3</v>
      </c>
      <c r="AW6" s="30">
        <f>IF(AW$1='Model inputs'!$C$3,('Model inputs'!$C$7-(1-AV$4+AW$5))/AV$4,'Model inputs'!$C$10)</f>
        <v>5.0000000000000001E-3</v>
      </c>
      <c r="AX6" s="30">
        <f>IF(AX$1='Model inputs'!$C$3,('Model inputs'!$C$7-(1-AW$4+AX$5))/AW$4,'Model inputs'!$C$10)</f>
        <v>5.0000000000000001E-3</v>
      </c>
      <c r="AY6" s="30">
        <f>IF(AY$1='Model inputs'!$C$3,('Model inputs'!$C$7-(1-AX$4+AY$5))/AX$4,'Model inputs'!$C$10)</f>
        <v>5.0000000000000001E-3</v>
      </c>
      <c r="AZ6" s="30">
        <f>IF(AZ$1='Model inputs'!$C$3,('Model inputs'!$C$7-(1-AY$4+AZ$5))/AY$4,'Model inputs'!$C$10)</f>
        <v>5.0000000000000001E-3</v>
      </c>
      <c r="BA6" s="30">
        <f>IF(BA$1='Model inputs'!$C$3,('Model inputs'!$C$7-(1-AZ$4+BA$5))/AZ$4,'Model inputs'!$C$10)</f>
        <v>5.0000000000000001E-3</v>
      </c>
      <c r="BB6" s="30">
        <f>IF(BB$1='Model inputs'!$C$3,('Model inputs'!$C$7-(1-BA$4+BB$5))/BA$4,'Model inputs'!$C$10)</f>
        <v>5.0000000000000001E-3</v>
      </c>
      <c r="BC6" s="30">
        <f>IF(BC$1='Model inputs'!$C$3,('Model inputs'!$C$7-(1-BB$4+BC$5))/BB$4,'Model inputs'!$C$10)</f>
        <v>5.0000000000000001E-3</v>
      </c>
      <c r="BD6" s="30">
        <f>IF(BD$1='Model inputs'!$C$3,('Model inputs'!$C$7-(1-BC$4+BD$5))/BC$4,'Model inputs'!$C$10)</f>
        <v>5.0000000000000001E-3</v>
      </c>
      <c r="BE6" s="30">
        <f>IF(BE$1='Model inputs'!$C$3,('Model inputs'!$C$7-(1-BD$4+BE$5))/BD$4,'Model inputs'!$C$10)</f>
        <v>5.0000000000000001E-3</v>
      </c>
      <c r="BF6" s="30">
        <f>IF(BF$1='Model inputs'!$C$3,('Model inputs'!$C$7-(1-BE$4+BF$5))/BE$4,'Model inputs'!$C$10)</f>
        <v>5.0000000000000001E-3</v>
      </c>
      <c r="BG6" s="30">
        <f>IF(BG$1='Model inputs'!$C$3,('Model inputs'!$C$7-(1-BF$4+BG$5))/BF$4,'Model inputs'!$C$10)</f>
        <v>5.0000000000000001E-3</v>
      </c>
      <c r="BH6" s="30">
        <f>IF(BH$1='Model inputs'!$C$3,('Model inputs'!$C$7-(1-BG$4+BH$5))/BG$4,'Model inputs'!$C$10)</f>
        <v>5.0000000000000001E-3</v>
      </c>
      <c r="BI6" s="30">
        <f>IF(BI$1='Model inputs'!$C$3,('Model inputs'!$C$7-(1-BH$4+BI$5))/BH$4,'Model inputs'!$C$10)</f>
        <v>5.0000000000000001E-3</v>
      </c>
      <c r="BJ6" s="30">
        <f>IF(BJ$1='Model inputs'!$C$3,('Model inputs'!$C$7-(1-BI$4+BJ$5))/BI$4,'Model inputs'!$C$10)</f>
        <v>5.0000000000000001E-3</v>
      </c>
    </row>
    <row r="8" spans="1:62" x14ac:dyDescent="0.25">
      <c r="A8" t="s">
        <v>6</v>
      </c>
      <c r="B8" s="31">
        <f>IF(B$1&lt;='Model inputs'!$C$3,0,B3*'Model inputs'!$D$5*B4)</f>
        <v>0</v>
      </c>
      <c r="C8" s="31">
        <f>IF(C$1&lt;='Model inputs'!$C$3,0,C3*'Model inputs'!$D$5*C4)</f>
        <v>0</v>
      </c>
      <c r="D8" s="31">
        <f>IF(D$1&lt;='Model inputs'!$C$3,0,D3*'Model inputs'!$D$5*D4)</f>
        <v>0</v>
      </c>
      <c r="E8" s="31">
        <f>IF(E$1&lt;='Model inputs'!$C$3,0,E3*'Model inputs'!$D$5*E4)</f>
        <v>0</v>
      </c>
      <c r="F8" s="31">
        <f>IF(F$1&lt;='Model inputs'!$C$3,0,F3*'Model inputs'!$D$5*F4)</f>
        <v>0</v>
      </c>
      <c r="G8" s="31">
        <f>IF(G$1&lt;='Model inputs'!$C$3,0,G3*'Model inputs'!$D$5*G4)</f>
        <v>0</v>
      </c>
      <c r="H8" s="31">
        <f>IF(H$1&lt;='Model inputs'!$C$3,0,H3*'Model inputs'!$D$5*H4)</f>
        <v>0</v>
      </c>
      <c r="I8" s="31">
        <f>IF(I$1&lt;='Model inputs'!$C$3,0,I3*'Model inputs'!$D$5*I4)</f>
        <v>0</v>
      </c>
      <c r="J8" s="31">
        <f>IF(J$1&lt;='Model inputs'!$C$3,0,J3*'Model inputs'!$D$5*J4)</f>
        <v>0</v>
      </c>
      <c r="K8" s="31">
        <f>IF(K$1&lt;='Model inputs'!$C$3,0,K3*'Model inputs'!$D$5*K4)</f>
        <v>0</v>
      </c>
      <c r="L8" s="31">
        <f>IF(L$1&lt;='Model inputs'!$C$3,0,L3*'Model inputs'!$D$5*L4)</f>
        <v>15.004620533798958</v>
      </c>
      <c r="M8" s="31">
        <f>IF(M$1&lt;='Model inputs'!$C$3,0,M3*'Model inputs'!$D$5*M4)</f>
        <v>14.14035439105214</v>
      </c>
      <c r="N8" s="31">
        <f>IF(N$1&lt;='Model inputs'!$C$3,0,N3*'Model inputs'!$D$5*N4)</f>
        <v>13.325869978127535</v>
      </c>
      <c r="O8" s="31">
        <f>IF(O$1&lt;='Model inputs'!$C$3,0,O3*'Model inputs'!$D$5*O4)</f>
        <v>12.558299867387387</v>
      </c>
      <c r="P8" s="31">
        <f>IF(P$1&lt;='Model inputs'!$C$3,0,P3*'Model inputs'!$D$5*P4)</f>
        <v>11.834941795025872</v>
      </c>
      <c r="Q8" s="31">
        <f>IF(Q$1&lt;='Model inputs'!$C$3,0,Q3*'Model inputs'!$D$5*Q4)</f>
        <v>11.153249147632382</v>
      </c>
      <c r="R8" s="31">
        <f>IF(R$1&lt;='Model inputs'!$C$3,0,R3*'Model inputs'!$D$5*R4)</f>
        <v>10.510821996728756</v>
      </c>
      <c r="S8" s="31">
        <f>IF(S$1&lt;='Model inputs'!$C$3,0,S3*'Model inputs'!$D$5*S4)</f>
        <v>9.9053986497171795</v>
      </c>
      <c r="T8" s="31">
        <f>IF(T$1&lt;='Model inputs'!$C$3,0,T3*'Model inputs'!$D$5*T4)</f>
        <v>9.33484768749347</v>
      </c>
      <c r="U8" s="31">
        <f>IF(U$1&lt;='Model inputs'!$C$3,0,U3*'Model inputs'!$D$5*U4)</f>
        <v>8.7971604606938456</v>
      </c>
      <c r="V8" s="31">
        <f>IF(V$1&lt;='Model inputs'!$C$3,0,V3*'Model inputs'!$D$5*V4)</f>
        <v>8.2904440181578813</v>
      </c>
      <c r="W8" s="31">
        <f>IF(W$1&lt;='Model inputs'!$C$3,0,W3*'Model inputs'!$D$5*W4)</f>
        <v>7.8129144427119845</v>
      </c>
      <c r="X8" s="31">
        <f>IF(X$1&lt;='Model inputs'!$C$3,0,X3*'Model inputs'!$D$5*X4)</f>
        <v>7.3628905708117749</v>
      </c>
      <c r="Y8" s="31">
        <f>IF(Y$1&lt;='Model inputs'!$C$3,0,Y3*'Model inputs'!$D$5*Y4)</f>
        <v>6.9387880739330159</v>
      </c>
      <c r="Z8" s="31">
        <f>IF(Z$1&lt;='Model inputs'!$C$3,0,Z3*'Model inputs'!$D$5*Z4)</f>
        <v>6.5391138808744751</v>
      </c>
      <c r="AA8" s="31">
        <f>IF(AA$1&lt;='Model inputs'!$C$3,0,AA3*'Model inputs'!$D$5*AA4)</f>
        <v>6.1624609213361046</v>
      </c>
      <c r="AB8" s="31">
        <f>IF(AB$1&lt;='Model inputs'!$C$3,0,AB3*'Model inputs'!$D$5*AB4)</f>
        <v>5.8075031722671442</v>
      </c>
      <c r="AC8" s="31">
        <f>IF(AC$1&lt;='Model inputs'!$C$3,0,AC3*'Model inputs'!$D$5*AC4)</f>
        <v>5.4729909895445568</v>
      </c>
      <c r="AD8" s="31">
        <f>IF(AD$1&lt;='Model inputs'!$C$3,0,AD3*'Model inputs'!$D$5*AD4)</f>
        <v>5.1577467085467896</v>
      </c>
      <c r="AE8" s="31">
        <f>IF(AE$1&lt;='Model inputs'!$C$3,0,AE3*'Model inputs'!$D$5*AE4)</f>
        <v>4.8606604981344947</v>
      </c>
      <c r="AF8" s="31">
        <f>IF(AF$1&lt;='Model inputs'!$C$3,0,AF3*'Model inputs'!$D$5*AF4)</f>
        <v>4.5806864534419471</v>
      </c>
      <c r="AG8" s="31">
        <f>IF(AG$1&lt;='Model inputs'!$C$3,0,AG3*'Model inputs'!$D$5*AG4)</f>
        <v>4.3168389137236911</v>
      </c>
      <c r="AH8" s="31">
        <f>IF(AH$1&lt;='Model inputs'!$C$3,0,AH3*'Model inputs'!$D$5*AH4)</f>
        <v>4.068188992293206</v>
      </c>
      <c r="AI8" s="31">
        <f>IF(AI$1&lt;='Model inputs'!$C$3,0,AI3*'Model inputs'!$D$5*AI4)</f>
        <v>3.8338613063371172</v>
      </c>
      <c r="AJ8" s="31">
        <f>IF(AJ$1&lt;='Model inputs'!$C$3,0,AJ3*'Model inputs'!$D$5*AJ4)</f>
        <v>3.6130308950920988</v>
      </c>
      <c r="AK8" s="31">
        <f>IF(AK$1&lt;='Model inputs'!$C$3,0,AK3*'Model inputs'!$D$5*AK4)</f>
        <v>3.4049203155347936</v>
      </c>
      <c r="AL8" s="31">
        <f>IF(AL$1&lt;='Model inputs'!$C$3,0,AL3*'Model inputs'!$D$5*AL4)</f>
        <v>3.2087969053599896</v>
      </c>
      <c r="AM8" s="31">
        <f>IF(AM$1&lt;='Model inputs'!$C$3,0,AM3*'Model inputs'!$D$5*AM4)</f>
        <v>3.0239702036112539</v>
      </c>
      <c r="AN8" s="31">
        <f>IF(AN$1&lt;='Model inputs'!$C$3,0,AN3*'Model inputs'!$D$5*AN4)</f>
        <v>2.8497895198832461</v>
      </c>
      <c r="AO8" s="31">
        <f>IF(AO$1&lt;='Model inputs'!$C$3,0,AO3*'Model inputs'!$D$5*AO4)</f>
        <v>2.6856416435379704</v>
      </c>
      <c r="AP8" s="31">
        <f>IF(AP$1&lt;='Model inputs'!$C$3,0,AP3*'Model inputs'!$D$5*AP4)</f>
        <v>2.5309486848701832</v>
      </c>
      <c r="AQ8" s="31">
        <f>IF(AQ$1&lt;='Model inputs'!$C$3,0,AQ3*'Model inputs'!$D$5*AQ4)</f>
        <v>2.3851660406216606</v>
      </c>
      <c r="AR8" s="31">
        <f>IF(AR$1&lt;='Model inputs'!$C$3,0,AR3*'Model inputs'!$D$5*AR4)</f>
        <v>2.2477804766818532</v>
      </c>
      <c r="AS8" s="31">
        <f>IF(AS$1&lt;='Model inputs'!$C$3,0,AS3*'Model inputs'!$D$5*AS4)</f>
        <v>2.118308321224978</v>
      </c>
      <c r="AT8" s="31">
        <f>IF(AT$1&lt;='Model inputs'!$C$3,0,AT3*'Model inputs'!$D$5*AT4)</f>
        <v>1.9962937619224193</v>
      </c>
      <c r="AU8" s="31">
        <f>IF(AU$1&lt;='Model inputs'!$C$3,0,AU3*'Model inputs'!$D$5*AU4)</f>
        <v>1.8813072412356875</v>
      </c>
      <c r="AV8" s="31">
        <f>IF(AV$1&lt;='Model inputs'!$C$3,0,AV3*'Model inputs'!$D$5*AV4)</f>
        <v>1.7729439441405119</v>
      </c>
      <c r="AW8" s="31">
        <f>IF(AW$1&lt;='Model inputs'!$C$3,0,AW3*'Model inputs'!$D$5*AW4)</f>
        <v>1.6708223729580183</v>
      </c>
      <c r="AX8" s="31">
        <f>IF(AX$1&lt;='Model inputs'!$C$3,0,AX3*'Model inputs'!$D$5*AX4)</f>
        <v>1.5745830042756361</v>
      </c>
      <c r="AY8" s="31">
        <f>IF(AY$1&lt;='Model inputs'!$C$3,0,AY3*'Model inputs'!$D$5*AY4)</f>
        <v>1.4838870232293595</v>
      </c>
      <c r="AZ8" s="31">
        <f>IF(AZ$1&lt;='Model inputs'!$C$3,0,AZ3*'Model inputs'!$D$5*AZ4)</f>
        <v>1.3984151306913484</v>
      </c>
      <c r="BA8" s="31">
        <f>IF(BA$1&lt;='Model inputs'!$C$3,0,BA3*'Model inputs'!$D$5*BA4)</f>
        <v>1.3178664191635265</v>
      </c>
      <c r="BB8" s="31">
        <f>IF(BB$1&lt;='Model inputs'!$C$3,0,BB3*'Model inputs'!$D$5*BB4)</f>
        <v>1.2419573134197075</v>
      </c>
      <c r="BC8" s="31">
        <f>IF(BC$1&lt;='Model inputs'!$C$3,0,BC3*'Model inputs'!$D$5*BC4)</f>
        <v>1.1704205721667322</v>
      </c>
      <c r="BD8" s="31">
        <f>IF(BD$1&lt;='Model inputs'!$C$3,0,BD3*'Model inputs'!$D$5*BD4)</f>
        <v>1.1030043472099282</v>
      </c>
      <c r="BE8" s="31">
        <f>IF(BE$1&lt;='Model inputs'!$C$3,0,BE3*'Model inputs'!$D$5*BE4)</f>
        <v>1.0394712968106365</v>
      </c>
      <c r="BF8" s="31">
        <f>IF(BF$1&lt;='Model inputs'!$C$3,0,BF3*'Model inputs'!$D$5*BF4)</f>
        <v>0.97959775011434369</v>
      </c>
      <c r="BG8" s="31">
        <f>IF(BG$1&lt;='Model inputs'!$C$3,0,BG3*'Model inputs'!$D$5*BG4)</f>
        <v>0.92317291970775739</v>
      </c>
      <c r="BH8" s="31">
        <f>IF(BH$1&lt;='Model inputs'!$C$3,0,BH3*'Model inputs'!$D$5*BH4)</f>
        <v>0.86999815953259063</v>
      </c>
      <c r="BI8" s="31">
        <f>IF(BI$1&lt;='Model inputs'!$C$3,0,BI3*'Model inputs'!$D$5*BI4)</f>
        <v>0.8198862655435134</v>
      </c>
      <c r="BJ8" s="31">
        <f>IF(BJ$1&lt;='Model inputs'!$C$3,0,BJ3*'Model inputs'!$D$5*BJ4)</f>
        <v>0.77266081664820696</v>
      </c>
    </row>
    <row r="9" spans="1:62" x14ac:dyDescent="0.25">
      <c r="A9" t="s">
        <v>8</v>
      </c>
      <c r="B9" s="31">
        <f>'Model inputs'!$C$4*'Model inputs'!$C$6</f>
        <v>21.45</v>
      </c>
      <c r="C9" s="31">
        <v>0</v>
      </c>
      <c r="D9" s="31">
        <v>0</v>
      </c>
      <c r="E9" s="31">
        <v>0</v>
      </c>
      <c r="F9" s="31">
        <v>0</v>
      </c>
      <c r="G9" s="31">
        <v>0</v>
      </c>
      <c r="H9" s="31">
        <v>0</v>
      </c>
      <c r="I9" s="31">
        <v>0</v>
      </c>
      <c r="J9" s="31">
        <v>0</v>
      </c>
      <c r="K9" s="31">
        <v>0</v>
      </c>
      <c r="L9" s="31">
        <v>0</v>
      </c>
      <c r="M9" s="31">
        <v>0</v>
      </c>
      <c r="N9" s="31">
        <v>0</v>
      </c>
      <c r="O9" s="31">
        <v>0</v>
      </c>
      <c r="P9" s="31">
        <v>0</v>
      </c>
      <c r="Q9" s="31">
        <v>0</v>
      </c>
      <c r="R9" s="31">
        <v>0</v>
      </c>
      <c r="S9" s="31">
        <v>0</v>
      </c>
      <c r="T9" s="31">
        <v>0</v>
      </c>
      <c r="U9" s="31">
        <v>0</v>
      </c>
      <c r="V9" s="31">
        <v>0</v>
      </c>
      <c r="W9" s="31">
        <v>0</v>
      </c>
      <c r="X9" s="31">
        <v>0</v>
      </c>
      <c r="Y9" s="31">
        <v>0</v>
      </c>
      <c r="Z9" s="31">
        <v>0</v>
      </c>
      <c r="AA9" s="31">
        <v>0</v>
      </c>
      <c r="AB9" s="31">
        <v>0</v>
      </c>
      <c r="AC9" s="31">
        <v>0</v>
      </c>
      <c r="AD9" s="31">
        <v>0</v>
      </c>
      <c r="AE9" s="31">
        <v>0</v>
      </c>
      <c r="AF9" s="31">
        <v>0</v>
      </c>
      <c r="AG9" s="31">
        <v>0</v>
      </c>
      <c r="AH9" s="31">
        <v>0</v>
      </c>
      <c r="AI9" s="31">
        <v>0</v>
      </c>
      <c r="AJ9" s="31">
        <v>0</v>
      </c>
      <c r="AK9" s="31">
        <v>0</v>
      </c>
      <c r="AL9" s="31">
        <v>0</v>
      </c>
      <c r="AM9" s="31">
        <v>0</v>
      </c>
      <c r="AN9" s="31">
        <v>0</v>
      </c>
      <c r="AO9" s="31">
        <v>0</v>
      </c>
      <c r="AP9" s="31">
        <v>0</v>
      </c>
      <c r="AQ9" s="31">
        <v>0</v>
      </c>
      <c r="AR9" s="31">
        <v>0</v>
      </c>
      <c r="AS9" s="31">
        <v>0</v>
      </c>
      <c r="AT9" s="31">
        <v>0</v>
      </c>
      <c r="AU9" s="31">
        <v>0</v>
      </c>
      <c r="AV9" s="31">
        <v>0</v>
      </c>
      <c r="AW9" s="31">
        <v>0</v>
      </c>
      <c r="AX9" s="31">
        <v>0</v>
      </c>
      <c r="AY9" s="31">
        <v>0</v>
      </c>
      <c r="AZ9" s="31">
        <v>0</v>
      </c>
      <c r="BA9" s="31">
        <v>0</v>
      </c>
      <c r="BB9" s="31">
        <v>0</v>
      </c>
      <c r="BC9" s="31">
        <v>0</v>
      </c>
      <c r="BD9" s="31">
        <v>0</v>
      </c>
      <c r="BE9" s="31">
        <v>0</v>
      </c>
      <c r="BF9" s="31">
        <v>0</v>
      </c>
      <c r="BG9" s="31">
        <v>0</v>
      </c>
      <c r="BH9" s="31">
        <v>0</v>
      </c>
      <c r="BI9" s="31">
        <v>0</v>
      </c>
      <c r="BJ9" s="31">
        <v>0</v>
      </c>
    </row>
    <row r="10" spans="1:62" x14ac:dyDescent="0.25">
      <c r="A10" t="s">
        <v>9</v>
      </c>
      <c r="B10" s="31">
        <f>-B$5*B$4*B$3</f>
        <v>0</v>
      </c>
      <c r="C10" s="31">
        <f t="shared" ref="C10:BJ10" si="1">-C$5*C$4*C$3</f>
        <v>0</v>
      </c>
      <c r="D10" s="31">
        <f t="shared" si="1"/>
        <v>0</v>
      </c>
      <c r="E10" s="31">
        <f t="shared" si="1"/>
        <v>0</v>
      </c>
      <c r="F10" s="31">
        <f t="shared" si="1"/>
        <v>0</v>
      </c>
      <c r="G10" s="31">
        <f t="shared" si="1"/>
        <v>0</v>
      </c>
      <c r="H10" s="31">
        <f t="shared" si="1"/>
        <v>0</v>
      </c>
      <c r="I10" s="31">
        <f t="shared" si="1"/>
        <v>-3.9325228948538982</v>
      </c>
      <c r="J10" s="31">
        <f t="shared" si="1"/>
        <v>-3.7060095761103136</v>
      </c>
      <c r="K10" s="31">
        <f t="shared" si="1"/>
        <v>-3.134413939704372</v>
      </c>
      <c r="L10" s="31">
        <f t="shared" si="1"/>
        <v>-2.9538716967773997</v>
      </c>
      <c r="M10" s="31">
        <f t="shared" si="1"/>
        <v>-2.7837286870430211</v>
      </c>
      <c r="N10" s="31">
        <f t="shared" si="1"/>
        <v>-2.6233859146693432</v>
      </c>
      <c r="O10" s="31">
        <f t="shared" si="1"/>
        <v>-2.4722788859843883</v>
      </c>
      <c r="P10" s="31">
        <f t="shared" si="1"/>
        <v>-2.3298756221516874</v>
      </c>
      <c r="Q10" s="31">
        <f t="shared" si="1"/>
        <v>-2.1956747863157502</v>
      </c>
      <c r="R10" s="31">
        <f t="shared" si="1"/>
        <v>-2.069203918623963</v>
      </c>
      <c r="S10" s="31">
        <f t="shared" si="1"/>
        <v>-1.9500177729112229</v>
      </c>
      <c r="T10" s="31">
        <f t="shared" si="1"/>
        <v>-1.8376967491915364</v>
      </c>
      <c r="U10" s="31">
        <f t="shared" si="1"/>
        <v>-1.7318454164381036</v>
      </c>
      <c r="V10" s="31">
        <f t="shared" si="1"/>
        <v>-1.6320911204512689</v>
      </c>
      <c r="W10" s="31">
        <f t="shared" si="1"/>
        <v>-1.5380826719132754</v>
      </c>
      <c r="X10" s="31">
        <f t="shared" si="1"/>
        <v>-1.4494891100110709</v>
      </c>
      <c r="Y10" s="31">
        <f t="shared" si="1"/>
        <v>-1.365998537274433</v>
      </c>
      <c r="Z10" s="31">
        <f t="shared" si="1"/>
        <v>-1.2873170215274259</v>
      </c>
      <c r="AA10" s="31">
        <f t="shared" si="1"/>
        <v>-1.2131675610874459</v>
      </c>
      <c r="AB10" s="31">
        <f t="shared" si="1"/>
        <v>-1.1432891095688089</v>
      </c>
      <c r="AC10" s="31">
        <f t="shared" si="1"/>
        <v>-1.0774356568576455</v>
      </c>
      <c r="AD10" s="31">
        <f t="shared" si="1"/>
        <v>-1.015375363022645</v>
      </c>
      <c r="AE10" s="31">
        <f t="shared" si="1"/>
        <v>-0.95688974211254063</v>
      </c>
      <c r="AF10" s="31">
        <f t="shared" si="1"/>
        <v>-0.90177289296685825</v>
      </c>
      <c r="AG10" s="31">
        <f t="shared" si="1"/>
        <v>-0.84983077433196719</v>
      </c>
      <c r="AH10" s="31">
        <f t="shared" si="1"/>
        <v>-0.80088052173044588</v>
      </c>
      <c r="AI10" s="31">
        <f t="shared" si="1"/>
        <v>-0.7547498036787722</v>
      </c>
      <c r="AJ10" s="31">
        <f t="shared" si="1"/>
        <v>-0.71127621498687477</v>
      </c>
      <c r="AK10" s="31">
        <f t="shared" si="1"/>
        <v>-0.67030670500363065</v>
      </c>
      <c r="AL10" s="31">
        <f t="shared" si="1"/>
        <v>-0.63169703879542161</v>
      </c>
      <c r="AM10" s="31">
        <f t="shared" si="1"/>
        <v>-0.59531128936080535</v>
      </c>
      <c r="AN10" s="31">
        <f t="shared" si="1"/>
        <v>-0.56102135909362294</v>
      </c>
      <c r="AO10" s="31">
        <f t="shared" si="1"/>
        <v>-0.52870652880983027</v>
      </c>
      <c r="AP10" s="31">
        <f t="shared" si="1"/>
        <v>-0.49825303275038407</v>
      </c>
      <c r="AQ10" s="31">
        <f t="shared" si="1"/>
        <v>-0.46955365806396182</v>
      </c>
      <c r="AR10" s="31">
        <f t="shared" si="1"/>
        <v>-0.44250736735947765</v>
      </c>
      <c r="AS10" s="31">
        <f t="shared" si="1"/>
        <v>-0.41701894299957171</v>
      </c>
      <c r="AT10" s="31">
        <f t="shared" si="1"/>
        <v>-0.39299865188279631</v>
      </c>
      <c r="AU10" s="31">
        <f t="shared" si="1"/>
        <v>-0.37036192953434721</v>
      </c>
      <c r="AV10" s="31">
        <f t="shared" si="1"/>
        <v>-0.34902908239316882</v>
      </c>
      <c r="AW10" s="31">
        <f t="shared" si="1"/>
        <v>-0.32892500724732221</v>
      </c>
      <c r="AX10" s="31">
        <f t="shared" si="1"/>
        <v>-0.30997892682987643</v>
      </c>
      <c r="AY10" s="31">
        <f t="shared" si="1"/>
        <v>-0.29212414064447551</v>
      </c>
      <c r="AZ10" s="31">
        <f t="shared" si="1"/>
        <v>-0.27529779014335376</v>
      </c>
      <c r="BA10" s="31">
        <f t="shared" si="1"/>
        <v>-0.25944063743109652</v>
      </c>
      <c r="BB10" s="31">
        <f t="shared" si="1"/>
        <v>-0.24449685671506538</v>
      </c>
      <c r="BC10" s="31">
        <f t="shared" si="1"/>
        <v>-0.23041383776827759</v>
      </c>
      <c r="BD10" s="31">
        <f t="shared" si="1"/>
        <v>-0.21714200071282477</v>
      </c>
      <c r="BE10" s="31">
        <f t="shared" si="1"/>
        <v>-0.20463462147176606</v>
      </c>
      <c r="BF10" s="31">
        <f t="shared" si="1"/>
        <v>-0.19284766727499233</v>
      </c>
      <c r="BG10" s="31">
        <f t="shared" si="1"/>
        <v>-0.18173964163995274</v>
      </c>
      <c r="BH10" s="31">
        <f t="shared" si="1"/>
        <v>-0.17127143828149147</v>
      </c>
      <c r="BI10" s="31">
        <f t="shared" si="1"/>
        <v>-0.16140620343647757</v>
      </c>
      <c r="BJ10" s="31">
        <f t="shared" si="1"/>
        <v>-0.15210920611853646</v>
      </c>
    </row>
    <row r="11" spans="1:62" x14ac:dyDescent="0.25">
      <c r="A11" t="s">
        <v>17</v>
      </c>
      <c r="B11" s="31">
        <f>-B$3*'Model inputs'!$C$13*B4</f>
        <v>-3.9</v>
      </c>
      <c r="C11" s="31">
        <f>-C$3*'Model inputs'!$C$13*C4</f>
        <v>-3.6864750000000002</v>
      </c>
      <c r="D11" s="31">
        <f>-D$3*'Model inputs'!$C$13*D4</f>
        <v>-3.4846404937500002</v>
      </c>
      <c r="E11" s="31">
        <f>-E$3*'Model inputs'!$C$13*E4</f>
        <v>-3.2938564267171877</v>
      </c>
      <c r="F11" s="31">
        <f>-F$3*'Model inputs'!$C$13*F4</f>
        <v>-3.1135177873544215</v>
      </c>
      <c r="G11" s="31">
        <f>-G$3*'Model inputs'!$C$13*G4</f>
        <v>-2.9430526884967669</v>
      </c>
      <c r="H11" s="31">
        <f>-H$3*'Model inputs'!$C$13*H4</f>
        <v>-2.781920553801569</v>
      </c>
      <c r="I11" s="31">
        <f>-I$3*'Model inputs'!$C$13*I4</f>
        <v>-2.6216819299025986</v>
      </c>
      <c r="J11" s="31">
        <f>-J$3*'Model inputs'!$C$13*J4</f>
        <v>-2.470673050740209</v>
      </c>
      <c r="K11" s="31">
        <f>-K$3*'Model inputs'!$C$13*K4</f>
        <v>-2.089609293136248</v>
      </c>
      <c r="L11" s="31">
        <f>-L$3*'Model inputs'!$C$13*L4</f>
        <v>-1.9692477978515996</v>
      </c>
      <c r="M11" s="31">
        <f>-M$3*'Model inputs'!$C$13*M4</f>
        <v>-1.8558191246953475</v>
      </c>
      <c r="N11" s="31">
        <f>-N$3*'Model inputs'!$C$13*N4</f>
        <v>-1.7489239431128951</v>
      </c>
      <c r="O11" s="31">
        <f>-O$3*'Model inputs'!$C$13*O4</f>
        <v>-1.6481859239895922</v>
      </c>
      <c r="P11" s="31">
        <f>-P$3*'Model inputs'!$C$13*P4</f>
        <v>-1.5532504147677917</v>
      </c>
      <c r="Q11" s="31">
        <f>-Q$3*'Model inputs'!$C$13*Q4</f>
        <v>-1.463783190877167</v>
      </c>
      <c r="R11" s="31">
        <f>-R$3*'Model inputs'!$C$13*R4</f>
        <v>-1.3794692790826419</v>
      </c>
      <c r="S11" s="31">
        <f>-S$3*'Model inputs'!$C$13*S4</f>
        <v>-1.3000118486074819</v>
      </c>
      <c r="T11" s="31">
        <f>-T$3*'Model inputs'!$C$13*T4</f>
        <v>-1.2251311661276909</v>
      </c>
      <c r="U11" s="31">
        <f>-U$3*'Model inputs'!$C$13*U4</f>
        <v>-1.1545636109587358</v>
      </c>
      <c r="V11" s="31">
        <f>-V$3*'Model inputs'!$C$13*V4</f>
        <v>-1.0880607469675128</v>
      </c>
      <c r="W11" s="31">
        <f>-W$3*'Model inputs'!$C$13*W4</f>
        <v>-1.0253884479421838</v>
      </c>
      <c r="X11" s="31">
        <f>-X$3*'Model inputs'!$C$13*X4</f>
        <v>-0.96632607334071396</v>
      </c>
      <c r="Y11" s="31">
        <f>-Y$3*'Model inputs'!$C$13*Y4</f>
        <v>-0.91066569151628862</v>
      </c>
      <c r="Z11" s="31">
        <f>-Z$3*'Model inputs'!$C$13*Z4</f>
        <v>-0.85821134768495055</v>
      </c>
      <c r="AA11" s="31">
        <f>-AA$3*'Model inputs'!$C$13*AA4</f>
        <v>-0.80877837405829722</v>
      </c>
      <c r="AB11" s="31">
        <f>-AB$3*'Model inputs'!$C$13*AB4</f>
        <v>-0.76219273971253931</v>
      </c>
      <c r="AC11" s="31">
        <f>-AC$3*'Model inputs'!$C$13*AC4</f>
        <v>-0.71829043790509706</v>
      </c>
      <c r="AD11" s="31">
        <f>-AD$3*'Model inputs'!$C$13*AD4</f>
        <v>-0.67691690868176335</v>
      </c>
      <c r="AE11" s="31">
        <f>-AE$3*'Model inputs'!$C$13*AE4</f>
        <v>-0.63792649474169383</v>
      </c>
      <c r="AF11" s="31">
        <f>-AF$3*'Model inputs'!$C$13*AF4</f>
        <v>-0.60118192864457221</v>
      </c>
      <c r="AG11" s="31">
        <f>-AG$3*'Model inputs'!$C$13*AG4</f>
        <v>-0.56655384955464483</v>
      </c>
      <c r="AH11" s="31">
        <f>-AH$3*'Model inputs'!$C$13*AH4</f>
        <v>-0.53392034782029729</v>
      </c>
      <c r="AI11" s="31">
        <f>-AI$3*'Model inputs'!$C$13*AI4</f>
        <v>-0.50316653578584802</v>
      </c>
      <c r="AJ11" s="31">
        <f>-AJ$3*'Model inputs'!$C$13*AJ4</f>
        <v>-0.47418414332458314</v>
      </c>
      <c r="AK11" s="31">
        <f>-AK$3*'Model inputs'!$C$13*AK4</f>
        <v>-0.44687113666908718</v>
      </c>
      <c r="AL11" s="31">
        <f>-AL$3*'Model inputs'!$C$13*AL4</f>
        <v>-0.42113135919694777</v>
      </c>
      <c r="AM11" s="31">
        <f>-AM$3*'Model inputs'!$C$13*AM4</f>
        <v>-0.39687419290720355</v>
      </c>
      <c r="AN11" s="31">
        <f>-AN$3*'Model inputs'!$C$13*AN4</f>
        <v>-0.37401423939574863</v>
      </c>
      <c r="AO11" s="31">
        <f>-AO$3*'Model inputs'!$C$13*AO4</f>
        <v>-0.35247101920655349</v>
      </c>
      <c r="AP11" s="31">
        <f>-AP$3*'Model inputs'!$C$13*AP4</f>
        <v>-0.33216868850025599</v>
      </c>
      <c r="AQ11" s="31">
        <f>-AQ$3*'Model inputs'!$C$13*AQ4</f>
        <v>-0.31303577204264121</v>
      </c>
      <c r="AR11" s="31">
        <f>-AR$3*'Model inputs'!$C$13*AR4</f>
        <v>-0.29500491157298508</v>
      </c>
      <c r="AS11" s="31">
        <f>-AS$3*'Model inputs'!$C$13*AS4</f>
        <v>-0.27801262866638116</v>
      </c>
      <c r="AT11" s="31">
        <f>-AT$3*'Model inputs'!$C$13*AT4</f>
        <v>-0.26199910125519754</v>
      </c>
      <c r="AU11" s="31">
        <f>-AU$3*'Model inputs'!$C$13*AU4</f>
        <v>-0.24690795302289811</v>
      </c>
      <c r="AV11" s="31">
        <f>-AV$3*'Model inputs'!$C$13*AV4</f>
        <v>-0.2326860549287792</v>
      </c>
      <c r="AW11" s="31">
        <f>-AW$3*'Model inputs'!$C$13*AW4</f>
        <v>-0.21928333816488146</v>
      </c>
      <c r="AX11" s="31">
        <f>-AX$3*'Model inputs'!$C$13*AX4</f>
        <v>-0.20665261788658429</v>
      </c>
      <c r="AY11" s="31">
        <f>-AY$3*'Model inputs'!$C$13*AY4</f>
        <v>-0.19474942709631701</v>
      </c>
      <c r="AZ11" s="31">
        <f>-AZ$3*'Model inputs'!$C$13*AZ4</f>
        <v>-0.18353186009556915</v>
      </c>
      <c r="BA11" s="31">
        <f>-BA$3*'Model inputs'!$C$13*BA4</f>
        <v>-0.17296042495406438</v>
      </c>
      <c r="BB11" s="31">
        <f>-BB$3*'Model inputs'!$C$13*BB4</f>
        <v>-0.16299790447671025</v>
      </c>
      <c r="BC11" s="31">
        <f>-BC$3*'Model inputs'!$C$13*BC4</f>
        <v>-0.15360922517885173</v>
      </c>
      <c r="BD11" s="31">
        <f>-BD$3*'Model inputs'!$C$13*BD4</f>
        <v>-0.14476133380854986</v>
      </c>
      <c r="BE11" s="31">
        <f>-BE$3*'Model inputs'!$C$13*BE4</f>
        <v>-0.13642308098117739</v>
      </c>
      <c r="BF11" s="31">
        <f>-BF$3*'Model inputs'!$C$13*BF4</f>
        <v>-0.12856511151666153</v>
      </c>
      <c r="BG11" s="31">
        <f>-BG$3*'Model inputs'!$C$13*BG4</f>
        <v>-0.12115976109330183</v>
      </c>
      <c r="BH11" s="31">
        <f>-BH$3*'Model inputs'!$C$13*BH4</f>
        <v>-0.11418095885432765</v>
      </c>
      <c r="BI11" s="31">
        <f>-BI$3*'Model inputs'!$C$13*BI4</f>
        <v>-0.10760413562431839</v>
      </c>
      <c r="BJ11" s="31">
        <f>-BJ$3*'Model inputs'!$C$13*BJ4</f>
        <v>-0.10140613741235764</v>
      </c>
    </row>
    <row r="13" spans="1:62" x14ac:dyDescent="0.25">
      <c r="A13" t="s">
        <v>20</v>
      </c>
      <c r="B13" s="31">
        <f>SUM(B8:B11)</f>
        <v>17.55</v>
      </c>
      <c r="C13" s="31">
        <f t="shared" ref="C13:BJ13" si="2">SUM(C8:C11)</f>
        <v>-3.6864750000000002</v>
      </c>
      <c r="D13" s="31">
        <f t="shared" si="2"/>
        <v>-3.4846404937500002</v>
      </c>
      <c r="E13" s="31">
        <f t="shared" si="2"/>
        <v>-3.2938564267171877</v>
      </c>
      <c r="F13" s="31">
        <f t="shared" si="2"/>
        <v>-3.1135177873544215</v>
      </c>
      <c r="G13" s="31">
        <f t="shared" si="2"/>
        <v>-2.9430526884967669</v>
      </c>
      <c r="H13" s="31">
        <f t="shared" si="2"/>
        <v>-2.781920553801569</v>
      </c>
      <c r="I13" s="31">
        <f t="shared" si="2"/>
        <v>-6.5542048247564964</v>
      </c>
      <c r="J13" s="31">
        <f t="shared" si="2"/>
        <v>-6.1766826268505231</v>
      </c>
      <c r="K13" s="31">
        <f t="shared" si="2"/>
        <v>-5.2240232328406204</v>
      </c>
      <c r="L13" s="31">
        <f t="shared" si="2"/>
        <v>10.081501039169959</v>
      </c>
      <c r="M13" s="31">
        <f t="shared" si="2"/>
        <v>9.500806579313771</v>
      </c>
      <c r="N13" s="31">
        <f t="shared" si="2"/>
        <v>8.9535601203452959</v>
      </c>
      <c r="O13" s="31">
        <f t="shared" si="2"/>
        <v>8.4378350574134071</v>
      </c>
      <c r="P13" s="31">
        <f t="shared" si="2"/>
        <v>7.9518157581063917</v>
      </c>
      <c r="Q13" s="31">
        <f t="shared" si="2"/>
        <v>7.4937911704394642</v>
      </c>
      <c r="R13" s="31">
        <f t="shared" si="2"/>
        <v>7.0621487990221521</v>
      </c>
      <c r="S13" s="31">
        <f t="shared" si="2"/>
        <v>6.655369028198475</v>
      </c>
      <c r="T13" s="31">
        <f t="shared" si="2"/>
        <v>6.272019772174243</v>
      </c>
      <c r="U13" s="31">
        <f t="shared" si="2"/>
        <v>5.9107514332970066</v>
      </c>
      <c r="V13" s="31">
        <f t="shared" si="2"/>
        <v>5.5702921507390997</v>
      </c>
      <c r="W13" s="31">
        <f t="shared" si="2"/>
        <v>5.2494433228565249</v>
      </c>
      <c r="X13" s="31">
        <f t="shared" si="2"/>
        <v>4.9470753874599893</v>
      </c>
      <c r="Y13" s="31">
        <f t="shared" si="2"/>
        <v>4.6621238451422942</v>
      </c>
      <c r="Z13" s="31">
        <f t="shared" si="2"/>
        <v>4.3935855116620983</v>
      </c>
      <c r="AA13" s="31">
        <f t="shared" si="2"/>
        <v>4.140514986190361</v>
      </c>
      <c r="AB13" s="31">
        <f t="shared" si="2"/>
        <v>3.9020213229857954</v>
      </c>
      <c r="AC13" s="31">
        <f t="shared" si="2"/>
        <v>3.6772648947818136</v>
      </c>
      <c r="AD13" s="31">
        <f t="shared" si="2"/>
        <v>3.4654544368423816</v>
      </c>
      <c r="AE13" s="31">
        <f t="shared" si="2"/>
        <v>3.2658442612802601</v>
      </c>
      <c r="AF13" s="31">
        <f t="shared" si="2"/>
        <v>3.0777316318305168</v>
      </c>
      <c r="AG13" s="31">
        <f t="shared" si="2"/>
        <v>2.9004542898370791</v>
      </c>
      <c r="AH13" s="31">
        <f t="shared" si="2"/>
        <v>2.733388122742463</v>
      </c>
      <c r="AI13" s="31">
        <f t="shared" si="2"/>
        <v>2.575944966872497</v>
      </c>
      <c r="AJ13" s="31">
        <f t="shared" si="2"/>
        <v>2.4275705367806411</v>
      </c>
      <c r="AK13" s="31">
        <f t="shared" si="2"/>
        <v>2.2877424738620755</v>
      </c>
      <c r="AL13" s="31">
        <f t="shared" si="2"/>
        <v>2.1559685073676205</v>
      </c>
      <c r="AM13" s="31">
        <f t="shared" si="2"/>
        <v>2.0317847213432452</v>
      </c>
      <c r="AN13" s="31">
        <f t="shared" si="2"/>
        <v>1.9147539213938745</v>
      </c>
      <c r="AO13" s="31">
        <f t="shared" si="2"/>
        <v>1.8044640955215867</v>
      </c>
      <c r="AP13" s="31">
        <f t="shared" si="2"/>
        <v>1.700526963619543</v>
      </c>
      <c r="AQ13" s="31">
        <f t="shared" si="2"/>
        <v>1.6025766105150576</v>
      </c>
      <c r="AR13" s="31">
        <f t="shared" si="2"/>
        <v>1.5102681977493904</v>
      </c>
      <c r="AS13" s="31">
        <f t="shared" si="2"/>
        <v>1.4232767495590253</v>
      </c>
      <c r="AT13" s="31">
        <f t="shared" si="2"/>
        <v>1.3412960087844255</v>
      </c>
      <c r="AU13" s="31">
        <f t="shared" si="2"/>
        <v>1.2640373586784421</v>
      </c>
      <c r="AV13" s="31">
        <f t="shared" si="2"/>
        <v>1.1912288068185639</v>
      </c>
      <c r="AW13" s="31">
        <f t="shared" si="2"/>
        <v>1.1226140275458145</v>
      </c>
      <c r="AX13" s="31">
        <f t="shared" si="2"/>
        <v>1.0579514595591752</v>
      </c>
      <c r="AY13" s="31">
        <f t="shared" si="2"/>
        <v>0.99701345548856701</v>
      </c>
      <c r="AZ13" s="31">
        <f t="shared" si="2"/>
        <v>0.93958548045242551</v>
      </c>
      <c r="BA13" s="31">
        <f t="shared" si="2"/>
        <v>0.88546535677836569</v>
      </c>
      <c r="BB13" s="31">
        <f t="shared" si="2"/>
        <v>0.83446255222793186</v>
      </c>
      <c r="BC13" s="31">
        <f t="shared" si="2"/>
        <v>0.78639750921960294</v>
      </c>
      <c r="BD13" s="31">
        <f t="shared" si="2"/>
        <v>0.74110101268855366</v>
      </c>
      <c r="BE13" s="31">
        <f t="shared" si="2"/>
        <v>0.69841359435769312</v>
      </c>
      <c r="BF13" s="31">
        <f t="shared" si="2"/>
        <v>0.65818497132268983</v>
      </c>
      <c r="BG13" s="31">
        <f t="shared" si="2"/>
        <v>0.62027351697450284</v>
      </c>
      <c r="BH13" s="31">
        <f t="shared" si="2"/>
        <v>0.58454576239677147</v>
      </c>
      <c r="BI13" s="31">
        <f t="shared" si="2"/>
        <v>0.55087592648271744</v>
      </c>
      <c r="BJ13" s="31">
        <f t="shared" si="2"/>
        <v>0.51914547311731285</v>
      </c>
    </row>
    <row r="14" spans="1:62" x14ac:dyDescent="0.25">
      <c r="A14" t="s">
        <v>21</v>
      </c>
      <c r="B14" s="29">
        <f>(1-'Model inputs'!$C$14)^(B1/12)</f>
        <v>1</v>
      </c>
      <c r="C14" s="29">
        <f>(1-'Model inputs'!$C$14)^(C1/12)</f>
        <v>0.99125838904530328</v>
      </c>
      <c r="D14" s="29">
        <f>(1-'Model inputs'!$C$14)^(D1/12)</f>
        <v>0.98259319385268984</v>
      </c>
      <c r="E14" s="29">
        <f>(1-'Model inputs'!$C$14)^(E1/12)</f>
        <v>0.97400374642529675</v>
      </c>
      <c r="F14" s="29">
        <f>(1-'Model inputs'!$C$14)^(F1/12)</f>
        <v>0.96548938460562972</v>
      </c>
      <c r="G14" s="29">
        <f>(1-'Model inputs'!$C$14)^(G1/12)</f>
        <v>0.95704945202451785</v>
      </c>
      <c r="H14" s="29">
        <f>(1-'Model inputs'!$C$14)^(H1/12)</f>
        <v>0.94868329805051377</v>
      </c>
      <c r="I14" s="29">
        <f>(1-'Model inputs'!$C$14)^(I1/12)</f>
        <v>0.9403902777397376</v>
      </c>
      <c r="J14" s="29">
        <f>(1-'Model inputs'!$C$14)^(J1/12)</f>
        <v>0.93216975178615769</v>
      </c>
      <c r="K14" s="29">
        <f>(1-'Model inputs'!$C$14)^(K1/12)</f>
        <v>0.92402108647230685</v>
      </c>
      <c r="L14" s="29">
        <f>(1-'Model inputs'!$C$14)^(L1/12)</f>
        <v>0.91594365362042984</v>
      </c>
      <c r="M14" s="29">
        <f>(1-'Model inputs'!$C$14)^(M1/12)</f>
        <v>0.90793683054405661</v>
      </c>
      <c r="N14" s="29">
        <f>(1-'Model inputs'!$C$14)^(N1/12)</f>
        <v>0.9</v>
      </c>
      <c r="O14" s="29">
        <f>(1-'Model inputs'!$C$14)^(O1/12)</f>
        <v>0.89213255014077297</v>
      </c>
      <c r="P14" s="29">
        <f>(1-'Model inputs'!$C$14)^(P1/12)</f>
        <v>0.88433387446742084</v>
      </c>
      <c r="Q14" s="29">
        <f>(1-'Model inputs'!$C$14)^(Q1/12)</f>
        <v>0.87660337178276715</v>
      </c>
      <c r="R14" s="29">
        <f>(1-'Model inputs'!$C$14)^(R1/12)</f>
        <v>0.86894044614506682</v>
      </c>
      <c r="S14" s="29">
        <f>(1-'Model inputs'!$C$14)^(S1/12)</f>
        <v>0.86134450682206609</v>
      </c>
      <c r="T14" s="29">
        <f>(1-'Model inputs'!$C$14)^(T1/12)</f>
        <v>0.85381496824546244</v>
      </c>
      <c r="U14" s="29">
        <f>(1-'Model inputs'!$C$14)^(U1/12)</f>
        <v>0.84635124996576394</v>
      </c>
      <c r="V14" s="29">
        <f>(1-'Model inputs'!$C$14)^(V1/12)</f>
        <v>0.83895277660754186</v>
      </c>
      <c r="W14" s="29">
        <f>(1-'Model inputs'!$C$14)^(W1/12)</f>
        <v>0.83161897782507621</v>
      </c>
      <c r="X14" s="29">
        <f>(1-'Model inputs'!$C$14)^(X1/12)</f>
        <v>0.82434928825838683</v>
      </c>
      <c r="Y14" s="29">
        <f>(1-'Model inputs'!$C$14)^(Y1/12)</f>
        <v>0.81714314748965089</v>
      </c>
      <c r="Z14" s="29">
        <f>(1-'Model inputs'!$C$14)^(Z1/12)</f>
        <v>0.81</v>
      </c>
      <c r="AA14" s="29">
        <f>(1-'Model inputs'!$C$14)^(AA1/12)</f>
        <v>0.80291929512669569</v>
      </c>
      <c r="AB14" s="29">
        <f>(1-'Model inputs'!$C$14)^(AB1/12)</f>
        <v>0.79590048702067884</v>
      </c>
      <c r="AC14" s="29">
        <f>(1-'Model inputs'!$C$14)^(AC1/12)</f>
        <v>0.78894303460449045</v>
      </c>
      <c r="AD14" s="29">
        <f>(1-'Model inputs'!$C$14)^(AD1/12)</f>
        <v>0.78204640153056015</v>
      </c>
      <c r="AE14" s="29">
        <f>(1-'Model inputs'!$C$14)^(AE1/12)</f>
        <v>0.77521005613985949</v>
      </c>
      <c r="AF14" s="29">
        <f>(1-'Model inputs'!$C$14)^(AF1/12)</f>
        <v>0.76843347142091623</v>
      </c>
      <c r="AG14" s="29">
        <f>(1-'Model inputs'!$C$14)^(AG1/12)</f>
        <v>0.7617161249691875</v>
      </c>
      <c r="AH14" s="29">
        <f>(1-'Model inputs'!$C$14)^(AH1/12)</f>
        <v>0.75505749894678775</v>
      </c>
      <c r="AI14" s="29">
        <f>(1-'Model inputs'!$C$14)^(AI1/12)</f>
        <v>0.74845708004256861</v>
      </c>
      <c r="AJ14" s="29">
        <f>(1-'Model inputs'!$C$14)^(AJ1/12)</f>
        <v>0.74191435943254813</v>
      </c>
      <c r="AK14" s="29">
        <f>(1-'Model inputs'!$C$14)^(AK1/12)</f>
        <v>0.73542883274068582</v>
      </c>
      <c r="AL14" s="29">
        <f>(1-'Model inputs'!$C$14)^(AL1/12)</f>
        <v>0.72900000000000009</v>
      </c>
      <c r="AM14" s="29">
        <f>(1-'Model inputs'!$C$14)^(AM1/12)</f>
        <v>0.72262736561402607</v>
      </c>
      <c r="AN14" s="29">
        <f>(1-'Model inputs'!$C$14)^(AN1/12)</f>
        <v>0.71631043831861096</v>
      </c>
      <c r="AO14" s="29">
        <f>(1-'Model inputs'!$C$14)^(AO1/12)</f>
        <v>0.71004873114404132</v>
      </c>
      <c r="AP14" s="29">
        <f>(1-'Model inputs'!$C$14)^(AP1/12)</f>
        <v>0.70384176137750409</v>
      </c>
      <c r="AQ14" s="29">
        <f>(1-'Model inputs'!$C$14)^(AQ1/12)</f>
        <v>0.69768905052587349</v>
      </c>
      <c r="AR14" s="29">
        <f>(1-'Model inputs'!$C$14)^(AR1/12)</f>
        <v>0.6915901242788246</v>
      </c>
      <c r="AS14" s="29">
        <f>(1-'Model inputs'!$C$14)^(AS1/12)</f>
        <v>0.68554451247226877</v>
      </c>
      <c r="AT14" s="29">
        <f>(1-'Model inputs'!$C$14)^(AT1/12)</f>
        <v>0.67955174905210902</v>
      </c>
      <c r="AU14" s="29">
        <f>(1-'Model inputs'!$C$14)^(AU1/12)</f>
        <v>0.67361137203831178</v>
      </c>
      <c r="AV14" s="29">
        <f>(1-'Model inputs'!$C$14)^(AV1/12)</f>
        <v>0.66772292348929341</v>
      </c>
      <c r="AW14" s="29">
        <f>(1-'Model inputs'!$C$14)^(AW1/12)</f>
        <v>0.66188594946661727</v>
      </c>
      <c r="AX14" s="29">
        <f>(1-'Model inputs'!$C$14)^(AX1/12)</f>
        <v>0.65610000000000013</v>
      </c>
      <c r="AY14" s="29">
        <f>(1-'Model inputs'!$C$14)^(AY1/12)</f>
        <v>0.6503646290526236</v>
      </c>
      <c r="AZ14" s="29">
        <f>(1-'Model inputs'!$C$14)^(AZ1/12)</f>
        <v>0.64467939448674982</v>
      </c>
      <c r="BA14" s="29">
        <f>(1-'Model inputs'!$C$14)^(BA1/12)</f>
        <v>0.63904385802963726</v>
      </c>
      <c r="BB14" s="29">
        <f>(1-'Model inputs'!$C$14)^(BB1/12)</f>
        <v>0.63345758523975371</v>
      </c>
      <c r="BC14" s="29">
        <f>(1-'Model inputs'!$C$14)^(BC1/12)</f>
        <v>0.62792014547328623</v>
      </c>
      <c r="BD14" s="29">
        <f>(1-'Model inputs'!$C$14)^(BD1/12)</f>
        <v>0.62243111185094213</v>
      </c>
      <c r="BE14" s="29">
        <f>(1-'Model inputs'!$C$14)^(BE1/12)</f>
        <v>0.61699006122504196</v>
      </c>
      <c r="BF14" s="29">
        <f>(1-'Model inputs'!$C$14)^(BF1/12)</f>
        <v>0.61159657414689805</v>
      </c>
      <c r="BG14" s="29">
        <f>(1-'Model inputs'!$C$14)^(BG1/12)</f>
        <v>0.60625023483448059</v>
      </c>
      <c r="BH14" s="29">
        <f>(1-'Model inputs'!$C$14)^(BH1/12)</f>
        <v>0.60095063114036407</v>
      </c>
      <c r="BI14" s="29">
        <f>(1-'Model inputs'!$C$14)^(BI1/12)</f>
        <v>0.59569735451995554</v>
      </c>
      <c r="BJ14" s="29">
        <f>(1-'Model inputs'!$C$14)^(BJ1/12)</f>
        <v>0.59049000000000018</v>
      </c>
    </row>
    <row r="16" spans="1:62" x14ac:dyDescent="0.25">
      <c r="A16" t="s">
        <v>22</v>
      </c>
      <c r="B16" s="31">
        <f>SUMPRODUCT($B$13:$BJ$13,$B$14:$BJ$14)</f>
        <v>117.95822287469234</v>
      </c>
    </row>
  </sheetData>
  <pageMargins left="0.7" right="0.7" top="0.75" bottom="0.75" header="0.3" footer="0.5"/>
  <pageSetup paperSize="9" orientation="portrait" verticalDpi="0" r:id="rId1"/>
  <headerFooter>
    <oddFooter>&amp;LCapital One Confidential</oddFooter>
  </headerFooter>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Instructions</vt:lpstr>
      <vt:lpstr>Main Program</vt:lpstr>
      <vt:lpstr>Model inputs</vt:lpstr>
      <vt:lpstr>Profit model</vt:lpstr>
      <vt:lpstr>All_Params</vt:lpstr>
      <vt:lpstr>Param_Backup</vt:lpstr>
      <vt:lpstr>Product_Params</vt:lpstr>
      <vt:lpstr>Product_Params_2</vt:lpstr>
      <vt:lpstr>Product_PV</vt:lpstr>
      <vt:lpstr>Product_Range</vt:lpstr>
      <vt:lpstr>Product_Range_2</vt:lpstr>
      <vt:lpstr>PV_Range</vt:lpstr>
    </vt:vector>
  </TitlesOfParts>
  <Company>Capital One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Young, Samuel</dc:creator>
  <cp:lastModifiedBy>Young, Samuel</cp:lastModifiedBy>
  <dcterms:created xsi:type="dcterms:W3CDTF">2014-09-24T09:00:09Z</dcterms:created>
  <dcterms:modified xsi:type="dcterms:W3CDTF">2014-10-21T15:22:28Z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lassification Level">
    <vt:lpwstr>Confidential</vt:lpwstr>
  </property>
</Properties>
</file>