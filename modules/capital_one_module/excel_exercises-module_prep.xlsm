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cience\Cap one NAA\"/>
    </mc:Choice>
  </mc:AlternateContent>
  <bookViews>
    <workbookView xWindow="0" yWindow="0" windowWidth="24000" windowHeight="11025"/>
  </bookViews>
  <sheets>
    <sheet name="1. Sumif" sheetId="1" r:id="rId1"/>
    <sheet name="2. Sumproduct" sheetId="2" r:id="rId2"/>
    <sheet name="3. Index-Match" sheetId="3" r:id="rId3"/>
    <sheet name="4. Other Functions" sheetId="7" r:id="rId4"/>
    <sheet name="5. Features" sheetId="4" r:id="rId5"/>
  </sheets>
  <definedNames>
    <definedName name="_xlnm._FilterDatabase" localSheetId="4" hidden="1">'5. Features'!$A$77:$F$90</definedName>
    <definedName name="q1_answer">'1. Sumif'!$J$10</definedName>
    <definedName name="q10_answer">'4. Other Functions'!$P$7:$P$10</definedName>
    <definedName name="q11_answer_1">'4. Other Functions'!$J$17</definedName>
    <definedName name="q11_answer_2">'4. Other Functions'!$J$18</definedName>
    <definedName name="q11_answer_3">'4. Other Functions'!$J$19</definedName>
    <definedName name="q12_answer">'4. Other Functions'!$J$38</definedName>
    <definedName name="q12_answers_calc">'4. Other Functions'!$J$27:$J$35</definedName>
    <definedName name="q2_answer">'1. Sumif'!$J$11</definedName>
    <definedName name="q3_answer">'1. Sumif'!$J$12</definedName>
    <definedName name="q4_answer">'2. Sumproduct'!$J$9</definedName>
    <definedName name="q5_answer">'2. Sumproduct'!$J$13</definedName>
    <definedName name="q6_answer">'3. Index-Match'!$J$5</definedName>
    <definedName name="q7_answer">'3. Index-Match'!$J$9</definedName>
    <definedName name="q7_answer_2">'3. Index-Match'!$K$9</definedName>
    <definedName name="q8_answer">'3. Index-Match'!$J$20</definedName>
    <definedName name="q9_answer">'3. Index-Match'!$J$31</definedName>
  </definedNames>
  <calcPr calcId="171027"/>
</workbook>
</file>

<file path=xl/calcChain.xml><?xml version="1.0" encoding="utf-8"?>
<calcChain xmlns="http://schemas.openxmlformats.org/spreadsheetml/2006/main">
  <c r="F90" i="4" l="1"/>
  <c r="F89" i="4"/>
  <c r="F88" i="4"/>
  <c r="F87" i="4"/>
  <c r="F86" i="4"/>
  <c r="F85" i="4"/>
  <c r="F84" i="4"/>
  <c r="F83" i="4"/>
  <c r="F82" i="4"/>
  <c r="F81" i="4"/>
  <c r="F80" i="4"/>
  <c r="F79" i="4"/>
  <c r="F78" i="4"/>
  <c r="G28" i="7" l="1"/>
  <c r="G29" i="7"/>
  <c r="G30" i="7"/>
  <c r="G31" i="7"/>
  <c r="G32" i="7"/>
  <c r="G33" i="7"/>
  <c r="G34" i="7"/>
  <c r="G35" i="7"/>
  <c r="G27" i="7" l="1"/>
  <c r="C41" i="4"/>
  <c r="C40" i="4"/>
  <c r="C42" i="4" l="1"/>
</calcChain>
</file>

<file path=xl/sharedStrings.xml><?xml version="1.0" encoding="utf-8"?>
<sst xmlns="http://schemas.openxmlformats.org/spreadsheetml/2006/main" count="405" uniqueCount="126">
  <si>
    <t>F</t>
  </si>
  <si>
    <t>Name</t>
  </si>
  <si>
    <t>No more rows or columns please so my macros don't break!</t>
  </si>
  <si>
    <t>Gender</t>
  </si>
  <si>
    <t>David</t>
  </si>
  <si>
    <t>Joanna</t>
  </si>
  <si>
    <t>Thomas</t>
  </si>
  <si>
    <t>Sarah</t>
  </si>
  <si>
    <t>Michael</t>
  </si>
  <si>
    <t>M</t>
  </si>
  <si>
    <t>Weight (kg)</t>
  </si>
  <si>
    <t>Q1) What is the total weight of the males?</t>
  </si>
  <si>
    <t>Q2) How many people are below 80kg?</t>
  </si>
  <si>
    <t>Age</t>
  </si>
  <si>
    <t>Q3) What is the average weight of men under 40?</t>
  </si>
  <si>
    <t>Basic SUMPRODUCT</t>
  </si>
  <si>
    <t>Wage</t>
  </si>
  <si>
    <t>Employees</t>
  </si>
  <si>
    <t>SUMPRODUCT with conditions</t>
  </si>
  <si>
    <t>The Match Function</t>
  </si>
  <si>
    <t>D</t>
  </si>
  <si>
    <t>S</t>
  </si>
  <si>
    <t>T</t>
  </si>
  <si>
    <t>Z</t>
  </si>
  <si>
    <t>Y</t>
  </si>
  <si>
    <t>C</t>
  </si>
  <si>
    <t>G</t>
  </si>
  <si>
    <t>R</t>
  </si>
  <si>
    <t>H</t>
  </si>
  <si>
    <t>X</t>
  </si>
  <si>
    <t>J</t>
  </si>
  <si>
    <t>E</t>
  </si>
  <si>
    <t>U</t>
  </si>
  <si>
    <t>V</t>
  </si>
  <si>
    <t>A</t>
  </si>
  <si>
    <t>W</t>
  </si>
  <si>
    <t>I</t>
  </si>
  <si>
    <t>The Index Function</t>
  </si>
  <si>
    <t>Index Match together</t>
  </si>
  <si>
    <t>Colour</t>
  </si>
  <si>
    <t>Leonardo</t>
  </si>
  <si>
    <t>Blue</t>
  </si>
  <si>
    <t>Donatello</t>
  </si>
  <si>
    <t>Purple</t>
  </si>
  <si>
    <t>Raphael</t>
  </si>
  <si>
    <t>Red</t>
  </si>
  <si>
    <t>Michelangelo</t>
  </si>
  <si>
    <t>Orange</t>
  </si>
  <si>
    <t>What is the break-even APR?</t>
  </si>
  <si>
    <t>APR</t>
  </si>
  <si>
    <t>REVENUE</t>
  </si>
  <si>
    <t>NACO</t>
  </si>
  <si>
    <t>PROFIT</t>
  </si>
  <si>
    <t>Make a copy of this scroll bar, linking it to G20</t>
  </si>
  <si>
    <t>N</t>
  </si>
  <si>
    <t>Enjoying course</t>
  </si>
  <si>
    <t>Engaging content</t>
  </si>
  <si>
    <t>Boring presenter</t>
  </si>
  <si>
    <t>Good materials</t>
  </si>
  <si>
    <t>Useful</t>
  </si>
  <si>
    <t>Set C50-55 to only allow Y,N or blank, and to be green for Y and red for N</t>
  </si>
  <si>
    <t>Amusing</t>
  </si>
  <si>
    <t>Profit</t>
  </si>
  <si>
    <t>Format C60 so it displays as £2.5MM</t>
  </si>
  <si>
    <t>Group rows 65-70 and collapse them</t>
  </si>
  <si>
    <t>Too much information</t>
  </si>
  <si>
    <t>IFERROR</t>
  </si>
  <si>
    <t>Accounts</t>
  </si>
  <si>
    <t>Segment 1</t>
  </si>
  <si>
    <t>Segment 2</t>
  </si>
  <si>
    <t>Segment 3</t>
  </si>
  <si>
    <t>Segment 4</t>
  </si>
  <si>
    <t>Average Balance</t>
  </si>
  <si>
    <t>Outstandings</t>
  </si>
  <si>
    <t>Random number</t>
  </si>
  <si>
    <t>Rounded up</t>
  </si>
  <si>
    <t>Rounded down</t>
  </si>
  <si>
    <t>RAND and FLOOR/CEILING</t>
  </si>
  <si>
    <t>ABS</t>
  </si>
  <si>
    <t>Actual</t>
  </si>
  <si>
    <t>Prediction</t>
  </si>
  <si>
    <t>Mean Absolute Error</t>
  </si>
  <si>
    <t>Error</t>
  </si>
  <si>
    <t>SUMIF and COUNTIF</t>
  </si>
  <si>
    <t>Q4) What is the total wage bill of this company (in £M)?</t>
  </si>
  <si>
    <t>Q5) What is the wage bill for people earning more than £40k</t>
  </si>
  <si>
    <t>Q6) At what position in the grey box is the first X?</t>
  </si>
  <si>
    <t>Q7) In this ascending series how many numbers are &lt;= 10000?</t>
  </si>
  <si>
    <t>Q8) What is the value at column 21 and row 3 of the grey box?</t>
  </si>
  <si>
    <t>Q9) Show corresponding colour of turtle chosen in the blue drop-down</t>
  </si>
  <si>
    <t>Bonus: Fill the cell with that colour</t>
  </si>
  <si>
    <t>Q10) Calculate the average balance for each segment, returning 0 if there are no accounts in the segment</t>
  </si>
  <si>
    <t>Q12) Calculate the mean absolute error of these readings</t>
  </si>
  <si>
    <t>NOTE: Using Excel Help on the match function may help</t>
  </si>
  <si>
    <t>Freeze panes so you always have this row visible</t>
  </si>
  <si>
    <t>Set B5 so you can only pick Monday, Tuesday or Wednesday</t>
  </si>
  <si>
    <t>Q11) Generate a random fraction between -1 and 0 and round it up and down</t>
  </si>
  <si>
    <t>Hourly wage</t>
  </si>
  <si>
    <t>Weekly hours</t>
  </si>
  <si>
    <t>Annual salary</t>
  </si>
  <si>
    <t>John</t>
  </si>
  <si>
    <t>Jack</t>
  </si>
  <si>
    <t>Jill</t>
  </si>
  <si>
    <t>Jenny</t>
  </si>
  <si>
    <t>James</t>
  </si>
  <si>
    <t>Jeremy</t>
  </si>
  <si>
    <t>Julia</t>
  </si>
  <si>
    <t>Jane</t>
  </si>
  <si>
    <t>Paul</t>
  </si>
  <si>
    <t>Patricia</t>
  </si>
  <si>
    <t>Phillip</t>
  </si>
  <si>
    <t>Peter</t>
  </si>
  <si>
    <t>Penny</t>
  </si>
  <si>
    <t>Filter this to show:</t>
  </si>
  <si>
    <t>2) only women over 40</t>
  </si>
  <si>
    <t>1) only men, in ascending age order</t>
  </si>
  <si>
    <t>3) names beginning with P</t>
  </si>
  <si>
    <t>4) people with an above average wage</t>
  </si>
  <si>
    <t>SUMIF</t>
  </si>
  <si>
    <t>COUNTIF</t>
  </si>
  <si>
    <t>For more information see these links</t>
  </si>
  <si>
    <t>SUMPRODUCT</t>
  </si>
  <si>
    <t>MATCH</t>
  </si>
  <si>
    <t>INDEX</t>
  </si>
  <si>
    <t>RAND</t>
  </si>
  <si>
    <t>RANDBETWEEN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</si>
</sst>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£&quot;#,##0;[Red]\-&quot;£&quot;#,##0"/>
    <numFmt numFmtId="8" formatCode="&quot;£&quot;#,##0.00;[Red]\-&quot;£&quot;#,##0.00"/>
    <numFmt numFmtId="164" formatCode="&quot;£&quot;#.0,,&quot;M&quot;"/>
    <numFmt numFmtId="165" formatCode="&quot;£&quot;#,##0"/>
    <numFmt numFmtId="166" formatCode="&quot;£&quot;#,##0.00"/>
  </numFmts>
  <fonts count="11" x14ac:knownFonts="1">
    <font>
      <sz val="10"/>
      <name val="Arial"/>
    </font>
    <font>
      <b/>
      <u/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10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3" fillId="4" borderId="0" xfId="0" applyFont="1" applyFill="1"/>
    <xf numFmtId="0" fontId="4" fillId="4" borderId="0" xfId="0" applyFont="1" applyFill="1"/>
    <xf numFmtId="0" fontId="1" fillId="2" borderId="0" xfId="0" applyFont="1" applyFill="1"/>
    <xf numFmtId="0" fontId="0" fillId="0" borderId="0" xfId="0" applyFill="1"/>
    <xf numFmtId="0" fontId="5" fillId="3" borderId="0" xfId="0" applyFont="1" applyFill="1"/>
    <xf numFmtId="0" fontId="5" fillId="0" borderId="0" xfId="0" applyFont="1"/>
    <xf numFmtId="6" fontId="0" fillId="2" borderId="0" xfId="0" applyNumberFormat="1" applyFill="1" applyAlignment="1"/>
    <xf numFmtId="164" fontId="0" fillId="0" borderId="0" xfId="0" applyNumberFormat="1"/>
    <xf numFmtId="6" fontId="0" fillId="0" borderId="0" xfId="0" applyNumberFormat="1"/>
    <xf numFmtId="0" fontId="6" fillId="2" borderId="0" xfId="0" applyFont="1" applyFill="1"/>
    <xf numFmtId="0" fontId="5" fillId="3" borderId="0" xfId="1" applyFill="1"/>
    <xf numFmtId="0" fontId="5" fillId="0" borderId="0" xfId="1"/>
    <xf numFmtId="0" fontId="5" fillId="0" borderId="1" xfId="1" applyBorder="1"/>
    <xf numFmtId="10" fontId="5" fillId="0" borderId="0" xfId="1" applyNumberFormat="1"/>
    <xf numFmtId="8" fontId="5" fillId="0" borderId="0" xfId="1" applyNumberFormat="1"/>
    <xf numFmtId="0" fontId="5" fillId="0" borderId="0" xfId="1" applyNumberFormat="1"/>
    <xf numFmtId="0" fontId="7" fillId="0" borderId="0" xfId="0" applyFont="1"/>
    <xf numFmtId="165" fontId="0" fillId="3" borderId="0" xfId="0" applyNumberFormat="1" applyFill="1"/>
    <xf numFmtId="0" fontId="0" fillId="3" borderId="0" xfId="0" applyNumberFormat="1" applyFill="1"/>
    <xf numFmtId="0" fontId="0" fillId="5" borderId="0" xfId="0" applyFill="1"/>
    <xf numFmtId="1" fontId="0" fillId="0" borderId="0" xfId="0" applyNumberFormat="1"/>
    <xf numFmtId="0" fontId="9" fillId="0" borderId="0" xfId="0" applyFont="1"/>
    <xf numFmtId="166" fontId="0" fillId="0" borderId="0" xfId="0" applyNumberFormat="1"/>
    <xf numFmtId="0" fontId="0" fillId="0" borderId="0" xfId="0" applyNumberFormat="1"/>
    <xf numFmtId="165" fontId="0" fillId="0" borderId="0" xfId="0" applyNumberFormat="1"/>
    <xf numFmtId="0" fontId="1" fillId="0" borderId="0" xfId="0" applyFont="1" applyFill="1"/>
    <xf numFmtId="0" fontId="10" fillId="0" borderId="0" xfId="2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Scroll" dx="16" fmlaLink="$D$20" max="100" min="40" page="10" val="4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9</xdr:row>
          <xdr:rowOff>0</xdr:rowOff>
        </xdr:from>
        <xdr:to>
          <xdr:col>8</xdr:col>
          <xdr:colOff>600075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10</xdr:row>
          <xdr:rowOff>0</xdr:rowOff>
        </xdr:from>
        <xdr:to>
          <xdr:col>8</xdr:col>
          <xdr:colOff>600075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11</xdr:row>
          <xdr:rowOff>0</xdr:rowOff>
        </xdr:from>
        <xdr:to>
          <xdr:col>8</xdr:col>
          <xdr:colOff>600075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answer: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0</xdr:rowOff>
        </xdr:from>
        <xdr:to>
          <xdr:col>8</xdr:col>
          <xdr:colOff>600075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12</xdr:row>
          <xdr:rowOff>0</xdr:rowOff>
        </xdr:from>
        <xdr:to>
          <xdr:col>8</xdr:col>
          <xdr:colOff>600075</xdr:colOff>
          <xdr:row>13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answer: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4</xdr:row>
          <xdr:rowOff>0</xdr:rowOff>
        </xdr:from>
        <xdr:to>
          <xdr:col>8</xdr:col>
          <xdr:colOff>600075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0</xdr:rowOff>
        </xdr:from>
        <xdr:to>
          <xdr:col>8</xdr:col>
          <xdr:colOff>600075</xdr:colOff>
          <xdr:row>9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19</xdr:row>
          <xdr:rowOff>0</xdr:rowOff>
        </xdr:from>
        <xdr:to>
          <xdr:col>8</xdr:col>
          <xdr:colOff>600075</xdr:colOff>
          <xdr:row>20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30</xdr:row>
          <xdr:rowOff>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answer: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14</xdr:col>
          <xdr:colOff>428625</xdr:colOff>
          <xdr:row>7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16</xdr:row>
          <xdr:rowOff>0</xdr:rowOff>
        </xdr:from>
        <xdr:to>
          <xdr:col>8</xdr:col>
          <xdr:colOff>657225</xdr:colOff>
          <xdr:row>17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37</xdr:row>
          <xdr:rowOff>0</xdr:rowOff>
        </xdr:from>
        <xdr:to>
          <xdr:col>8</xdr:col>
          <xdr:colOff>657225</xdr:colOff>
          <xdr:row>38</xdr:row>
          <xdr:rowOff>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answers: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18</xdr:row>
          <xdr:rowOff>9525</xdr:rowOff>
        </xdr:from>
        <xdr:to>
          <xdr:col>1</xdr:col>
          <xdr:colOff>657225</xdr:colOff>
          <xdr:row>32</xdr:row>
          <xdr:rowOff>152400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support.office.com/en-gb/article/COUNTIF-function-e0de10c6-f885-4e71-abb4-1f464816df34" TargetMode="External"/><Relationship Id="rId1" Type="http://schemas.openxmlformats.org/officeDocument/2006/relationships/hyperlink" Target="https://support.office.com/en-gb/article/SUMIF-function-169b8c99-c05c-4483-a712-1697a653039b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upport.office.com/en-gb/article/SUMPRODUCT-function-16753e75-9f68-4874-94ac-4d2145a2fd2e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7.xml"/><Relationship Id="rId2" Type="http://schemas.openxmlformats.org/officeDocument/2006/relationships/hyperlink" Target="https://support.office.com/en-gb/article/INDEX-function-a5dcf0dd-996d-40a4-a822-b56b061328bd" TargetMode="External"/><Relationship Id="rId1" Type="http://schemas.openxmlformats.org/officeDocument/2006/relationships/hyperlink" Target="https://support.office.com/en-gb/article/MATCH-function-e8dffd45-c762-47d6-bf89-533f4a37673a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hyperlink" Target="https://support.office.com/en-GB/article/RANDBETWEEN-function-4cc7f0d1-87dc-4eb7-987f-a469ab381685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https://support.office.com/en-GB/article/RAND-function-4cbfa695-8869-4788-8d90-021ea9f5be73" TargetMode="External"/><Relationship Id="rId1" Type="http://schemas.openxmlformats.org/officeDocument/2006/relationships/hyperlink" Target="https://support.office.com/en-gb/article/IFERROR-function-c526fd07-caeb-47b8-8bb6-63f3e417f611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10" Type="http://schemas.openxmlformats.org/officeDocument/2006/relationships/ctrlProp" Target="../ctrlProps/ctrlProp12.xml"/><Relationship Id="rId4" Type="http://schemas.openxmlformats.org/officeDocument/2006/relationships/hyperlink" Target="https://support.office.com/en-GB/article/ABS-function-3420200f-5628-4e8c-99da-c99d7c87713c" TargetMode="Externa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V65532"/>
  <sheetViews>
    <sheetView tabSelected="1" workbookViewId="0">
      <selection activeCell="B28" sqref="B28"/>
    </sheetView>
  </sheetViews>
  <sheetFormatPr defaultRowHeight="12.75" x14ac:dyDescent="0.2"/>
  <cols>
    <col min="1" max="1" width="19.28515625" customWidth="1"/>
    <col min="2" max="5" width="10" customWidth="1"/>
    <col min="6" max="6" width="12" customWidth="1"/>
    <col min="7" max="7" width="11.28515625" bestFit="1" customWidth="1"/>
  </cols>
  <sheetData>
    <row r="1" spans="1:7" s="3" customFormat="1" x14ac:dyDescent="0.2">
      <c r="A1" s="4" t="s">
        <v>83</v>
      </c>
    </row>
    <row r="3" spans="1:7" s="6" customFormat="1" x14ac:dyDescent="0.2">
      <c r="A3"/>
      <c r="B3"/>
      <c r="C3"/>
      <c r="D3" s="5" t="s">
        <v>1</v>
      </c>
      <c r="E3" s="5" t="s">
        <v>3</v>
      </c>
      <c r="F3" s="5" t="s">
        <v>13</v>
      </c>
      <c r="G3" s="5" t="s">
        <v>10</v>
      </c>
    </row>
    <row r="4" spans="1:7" s="6" customFormat="1" x14ac:dyDescent="0.2">
      <c r="A4"/>
      <c r="B4"/>
      <c r="C4"/>
      <c r="D4" s="1" t="s">
        <v>4</v>
      </c>
      <c r="E4" s="1" t="s">
        <v>9</v>
      </c>
      <c r="F4" s="1">
        <v>35</v>
      </c>
      <c r="G4" s="1">
        <v>70</v>
      </c>
    </row>
    <row r="5" spans="1:7" s="6" customFormat="1" x14ac:dyDescent="0.2">
      <c r="A5"/>
      <c r="B5"/>
      <c r="C5"/>
      <c r="D5" s="1" t="s">
        <v>5</v>
      </c>
      <c r="E5" s="1" t="s">
        <v>0</v>
      </c>
      <c r="F5" s="1">
        <v>29</v>
      </c>
      <c r="G5" s="1">
        <v>52</v>
      </c>
    </row>
    <row r="6" spans="1:7" s="6" customFormat="1" x14ac:dyDescent="0.2">
      <c r="A6"/>
      <c r="B6"/>
      <c r="C6"/>
      <c r="D6" s="1" t="s">
        <v>6</v>
      </c>
      <c r="E6" s="1" t="s">
        <v>9</v>
      </c>
      <c r="F6" s="1">
        <v>21</v>
      </c>
      <c r="G6" s="1">
        <v>92</v>
      </c>
    </row>
    <row r="7" spans="1:7" s="6" customFormat="1" x14ac:dyDescent="0.2">
      <c r="A7"/>
      <c r="B7"/>
      <c r="C7"/>
      <c r="D7" s="1" t="s">
        <v>7</v>
      </c>
      <c r="E7" s="1" t="s">
        <v>0</v>
      </c>
      <c r="F7" s="1">
        <v>24</v>
      </c>
      <c r="G7" s="1">
        <v>60</v>
      </c>
    </row>
    <row r="8" spans="1:7" s="6" customFormat="1" x14ac:dyDescent="0.2">
      <c r="A8"/>
      <c r="B8"/>
      <c r="C8"/>
      <c r="D8" s="1" t="s">
        <v>8</v>
      </c>
      <c r="E8" s="1" t="s">
        <v>9</v>
      </c>
      <c r="F8" s="1">
        <v>42</v>
      </c>
      <c r="G8" s="1">
        <v>81</v>
      </c>
    </row>
    <row r="10" spans="1:7" x14ac:dyDescent="0.2">
      <c r="A10" s="2" t="s">
        <v>11</v>
      </c>
      <c r="B10" s="2"/>
      <c r="C10" s="2"/>
      <c r="D10" s="2"/>
      <c r="E10" s="2"/>
      <c r="G10" s="2"/>
    </row>
    <row r="11" spans="1:7" x14ac:dyDescent="0.2">
      <c r="A11" s="2" t="s">
        <v>12</v>
      </c>
      <c r="B11" s="2"/>
      <c r="C11" s="2"/>
      <c r="D11" s="2"/>
      <c r="E11" s="2"/>
      <c r="G11" s="2"/>
    </row>
    <row r="12" spans="1:7" x14ac:dyDescent="0.2">
      <c r="A12" s="7" t="s">
        <v>14</v>
      </c>
      <c r="B12" s="2"/>
      <c r="C12" s="2"/>
      <c r="D12" s="2"/>
      <c r="E12" s="2"/>
      <c r="G12" s="2"/>
    </row>
    <row r="13" spans="1:7" x14ac:dyDescent="0.2">
      <c r="A13" s="8"/>
    </row>
    <row r="15" spans="1:7" x14ac:dyDescent="0.2">
      <c r="A15" s="28" t="s">
        <v>120</v>
      </c>
    </row>
    <row r="16" spans="1:7" x14ac:dyDescent="0.2">
      <c r="A16" s="29" t="s">
        <v>118</v>
      </c>
      <c r="B16" s="8"/>
    </row>
    <row r="17" spans="1:2" x14ac:dyDescent="0.2">
      <c r="A17" s="29" t="s">
        <v>119</v>
      </c>
      <c r="B17" s="8"/>
    </row>
    <row r="65532" spans="256:256" x14ac:dyDescent="0.2">
      <c r="IV65532" t="s">
        <v>2</v>
      </c>
    </row>
  </sheetData>
  <phoneticPr fontId="2" type="noConversion"/>
  <hyperlinks>
    <hyperlink ref="A16" r:id="rId1"/>
    <hyperlink ref="A17" r:id="rId2"/>
  </hyperlinks>
  <pageMargins left="0.75" right="0.75" top="1" bottom="1" header="0.5" footer="0.5"/>
  <pageSetup orientation="portrait" horizontalDpi="200" verticalDpi="200" r:id="rId3"/>
  <headerFooter alignWithMargins="0">
    <oddFooter>&amp;LCapital One Confidential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veal_answers.q1_answer">
                <anchor moveWithCells="1" sizeWithCells="1">
                  <from>
                    <xdr:col>7</xdr:col>
                    <xdr:colOff>171450</xdr:colOff>
                    <xdr:row>9</xdr:row>
                    <xdr:rowOff>0</xdr:rowOff>
                  </from>
                  <to>
                    <xdr:col>8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reveal_answers.q2_answer">
                <anchor moveWithCells="1" sizeWithCells="1">
                  <from>
                    <xdr:col>7</xdr:col>
                    <xdr:colOff>171450</xdr:colOff>
                    <xdr:row>10</xdr:row>
                    <xdr:rowOff>0</xdr:rowOff>
                  </from>
                  <to>
                    <xdr:col>8</xdr:col>
                    <xdr:colOff>600075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reveal_answers.q3_answer">
                <anchor moveWithCells="1" sizeWithCells="1">
                  <from>
                    <xdr:col>7</xdr:col>
                    <xdr:colOff>171450</xdr:colOff>
                    <xdr:row>11</xdr:row>
                    <xdr:rowOff>0</xdr:rowOff>
                  </from>
                  <to>
                    <xdr:col>8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V65536"/>
  <sheetViews>
    <sheetView workbookViewId="0">
      <selection activeCell="A17" sqref="A17"/>
    </sheetView>
  </sheetViews>
  <sheetFormatPr defaultRowHeight="12.75" x14ac:dyDescent="0.2"/>
  <cols>
    <col min="1" max="1" width="19.28515625" customWidth="1"/>
    <col min="2" max="3" width="10" customWidth="1"/>
    <col min="4" max="4" width="11.140625" customWidth="1"/>
    <col min="5" max="5" width="10" customWidth="1"/>
    <col min="10" max="10" width="11.85546875" customWidth="1"/>
  </cols>
  <sheetData>
    <row r="1" spans="1:255" s="3" customFormat="1" x14ac:dyDescent="0.2">
      <c r="A1" s="4" t="s">
        <v>15</v>
      </c>
    </row>
    <row r="3" spans="1:255" x14ac:dyDescent="0.2">
      <c r="D3" s="5" t="s">
        <v>16</v>
      </c>
      <c r="E3" s="5" t="s">
        <v>17</v>
      </c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</row>
    <row r="4" spans="1:255" x14ac:dyDescent="0.2">
      <c r="D4" s="9">
        <v>20000</v>
      </c>
      <c r="E4" s="1">
        <v>25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</row>
    <row r="5" spans="1:255" x14ac:dyDescent="0.2">
      <c r="D5" s="9">
        <v>30000</v>
      </c>
      <c r="E5" s="1">
        <v>10</v>
      </c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</row>
    <row r="6" spans="1:255" x14ac:dyDescent="0.2">
      <c r="D6" s="9">
        <v>45000</v>
      </c>
      <c r="E6" s="1">
        <v>5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</row>
    <row r="7" spans="1:255" x14ac:dyDescent="0.2">
      <c r="D7" s="9">
        <v>80000</v>
      </c>
      <c r="E7" s="1">
        <v>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</row>
    <row r="9" spans="1:255" x14ac:dyDescent="0.2">
      <c r="A9" s="7" t="s">
        <v>84</v>
      </c>
      <c r="B9" s="2"/>
      <c r="C9" s="2"/>
      <c r="D9" s="2"/>
      <c r="E9" s="2"/>
      <c r="G9" s="2"/>
      <c r="J9" s="10"/>
    </row>
    <row r="11" spans="1:255" s="3" customFormat="1" x14ac:dyDescent="0.2">
      <c r="A11" s="4" t="s">
        <v>18</v>
      </c>
    </row>
    <row r="13" spans="1:255" x14ac:dyDescent="0.2">
      <c r="A13" s="7" t="s">
        <v>85</v>
      </c>
      <c r="B13" s="2"/>
      <c r="C13" s="2"/>
      <c r="D13" s="2"/>
      <c r="E13" s="2"/>
      <c r="G13" s="2"/>
      <c r="J13" s="11"/>
      <c r="K13" s="11"/>
    </row>
    <row r="16" spans="1:255" x14ac:dyDescent="0.2">
      <c r="H16" s="10"/>
    </row>
    <row r="17" spans="1:1" x14ac:dyDescent="0.2">
      <c r="A17" s="28" t="s">
        <v>120</v>
      </c>
    </row>
    <row r="18" spans="1:1" x14ac:dyDescent="0.2">
      <c r="A18" s="29" t="s">
        <v>121</v>
      </c>
    </row>
    <row r="65536" spans="256:256" x14ac:dyDescent="0.2">
      <c r="IV65536" t="s">
        <v>2</v>
      </c>
    </row>
  </sheetData>
  <hyperlinks>
    <hyperlink ref="A18" r:id="rId1"/>
  </hyperlinks>
  <pageMargins left="0.75" right="0.75" top="1" bottom="1" header="0.5" footer="0.5"/>
  <pageSetup orientation="portrait" horizontalDpi="200" verticalDpi="200" r:id="rId2"/>
  <headerFooter alignWithMargins="0">
    <oddFooter>&amp;LCapital One Confidential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veal_answers.q4_answer">
                <anchor moveWithCells="1" sizeWithCells="1">
                  <from>
                    <xdr:col>7</xdr:col>
                    <xdr:colOff>171450</xdr:colOff>
                    <xdr:row>8</xdr:row>
                    <xdr:rowOff>0</xdr:rowOff>
                  </from>
                  <to>
                    <xdr:col>8</xdr:col>
                    <xdr:colOff>600075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reveal_answers.q5_answer">
                <anchor moveWithCells="1" sizeWithCells="1">
                  <from>
                    <xdr:col>7</xdr:col>
                    <xdr:colOff>171450</xdr:colOff>
                    <xdr:row>12</xdr:row>
                    <xdr:rowOff>0</xdr:rowOff>
                  </from>
                  <to>
                    <xdr:col>8</xdr:col>
                    <xdr:colOff>600075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V65536"/>
  <sheetViews>
    <sheetView topLeftCell="A7" workbookViewId="0">
      <selection activeCell="A36" sqref="A36"/>
    </sheetView>
  </sheetViews>
  <sheetFormatPr defaultRowHeight="12.75" x14ac:dyDescent="0.2"/>
  <cols>
    <col min="1" max="1" width="19.28515625" customWidth="1"/>
    <col min="2" max="5" width="10" customWidth="1"/>
  </cols>
  <sheetData>
    <row r="1" spans="1:255" s="3" customFormat="1" x14ac:dyDescent="0.2">
      <c r="A1" s="4" t="s">
        <v>19</v>
      </c>
    </row>
    <row r="3" spans="1:255" x14ac:dyDescent="0.2">
      <c r="D3" s="1" t="s">
        <v>20</v>
      </c>
      <c r="E3" s="1" t="s">
        <v>20</v>
      </c>
      <c r="F3" s="1" t="s">
        <v>20</v>
      </c>
      <c r="G3" s="1" t="s">
        <v>20</v>
      </c>
      <c r="H3" s="1" t="s">
        <v>20</v>
      </c>
      <c r="I3" s="1" t="s">
        <v>21</v>
      </c>
      <c r="J3" s="1" t="s">
        <v>21</v>
      </c>
      <c r="K3" s="1" t="s">
        <v>22</v>
      </c>
      <c r="L3" s="1" t="s">
        <v>21</v>
      </c>
      <c r="M3" s="1" t="s">
        <v>23</v>
      </c>
      <c r="N3" s="1" t="s">
        <v>24</v>
      </c>
      <c r="O3" s="1" t="s">
        <v>25</v>
      </c>
      <c r="P3" s="1" t="s">
        <v>25</v>
      </c>
      <c r="Q3" s="1" t="s">
        <v>20</v>
      </c>
      <c r="R3" s="1" t="s">
        <v>26</v>
      </c>
      <c r="S3" s="1" t="s">
        <v>21</v>
      </c>
      <c r="T3" s="1" t="s">
        <v>20</v>
      </c>
      <c r="U3" s="1" t="s">
        <v>21</v>
      </c>
      <c r="V3" s="1" t="s">
        <v>20</v>
      </c>
      <c r="W3" s="1" t="s">
        <v>0</v>
      </c>
      <c r="X3" s="1" t="s">
        <v>0</v>
      </c>
      <c r="Y3" s="1" t="s">
        <v>22</v>
      </c>
      <c r="Z3" s="1" t="s">
        <v>22</v>
      </c>
      <c r="AA3" s="1" t="s">
        <v>27</v>
      </c>
      <c r="AB3" s="1" t="s">
        <v>20</v>
      </c>
      <c r="AC3" s="1" t="s">
        <v>20</v>
      </c>
      <c r="AD3" s="1" t="s">
        <v>0</v>
      </c>
      <c r="AE3" s="1" t="s">
        <v>23</v>
      </c>
      <c r="AF3" s="1" t="s">
        <v>0</v>
      </c>
      <c r="AG3" s="1" t="s">
        <v>20</v>
      </c>
      <c r="AH3" s="1" t="s">
        <v>27</v>
      </c>
      <c r="AI3" s="1" t="s">
        <v>28</v>
      </c>
      <c r="AJ3" s="1" t="s">
        <v>27</v>
      </c>
      <c r="AK3" s="1" t="s">
        <v>26</v>
      </c>
      <c r="AL3" s="1" t="s">
        <v>27</v>
      </c>
      <c r="AM3" s="1" t="s">
        <v>21</v>
      </c>
      <c r="AN3" s="1" t="s">
        <v>27</v>
      </c>
      <c r="AO3" s="1" t="s">
        <v>20</v>
      </c>
      <c r="AP3" s="1" t="s">
        <v>26</v>
      </c>
      <c r="AQ3" s="1" t="s">
        <v>0</v>
      </c>
      <c r="AR3" s="1" t="s">
        <v>20</v>
      </c>
      <c r="AS3" s="1" t="s">
        <v>21</v>
      </c>
      <c r="AT3" s="1" t="s">
        <v>20</v>
      </c>
      <c r="AU3" s="1" t="s">
        <v>20</v>
      </c>
      <c r="AV3" s="1" t="s">
        <v>0</v>
      </c>
      <c r="AW3" s="1" t="s">
        <v>29</v>
      </c>
      <c r="AX3" s="1" t="s">
        <v>21</v>
      </c>
      <c r="AY3" s="1" t="s">
        <v>20</v>
      </c>
      <c r="AZ3" s="1" t="s">
        <v>26</v>
      </c>
      <c r="BA3" s="1" t="s">
        <v>26</v>
      </c>
      <c r="BB3" s="1" t="s">
        <v>20</v>
      </c>
      <c r="BC3" s="1" t="s">
        <v>22</v>
      </c>
      <c r="BD3" s="1" t="s">
        <v>24</v>
      </c>
      <c r="BE3" s="1" t="s">
        <v>24</v>
      </c>
      <c r="BF3" s="1" t="s">
        <v>21</v>
      </c>
      <c r="BG3" s="1" t="s">
        <v>27</v>
      </c>
      <c r="BH3" s="1" t="s">
        <v>30</v>
      </c>
      <c r="BI3" s="1" t="s">
        <v>20</v>
      </c>
      <c r="BJ3" s="1" t="s">
        <v>26</v>
      </c>
      <c r="BK3" s="1" t="s">
        <v>29</v>
      </c>
      <c r="BL3" s="1" t="s">
        <v>20</v>
      </c>
      <c r="BM3" s="1" t="s">
        <v>0</v>
      </c>
      <c r="BN3" s="1" t="s">
        <v>0</v>
      </c>
      <c r="BO3" s="1" t="s">
        <v>26</v>
      </c>
      <c r="BP3" s="1" t="s">
        <v>0</v>
      </c>
      <c r="BQ3" s="1" t="s">
        <v>27</v>
      </c>
      <c r="BR3" s="1" t="s">
        <v>0</v>
      </c>
      <c r="BS3" s="1" t="s">
        <v>0</v>
      </c>
      <c r="BT3" s="1" t="s">
        <v>20</v>
      </c>
      <c r="BU3" s="1" t="s">
        <v>20</v>
      </c>
      <c r="BV3" s="1" t="s">
        <v>0</v>
      </c>
      <c r="BW3" s="1" t="s">
        <v>20</v>
      </c>
      <c r="BX3" s="1" t="s">
        <v>20</v>
      </c>
      <c r="BY3" s="1" t="s">
        <v>21</v>
      </c>
      <c r="BZ3" s="1" t="s">
        <v>20</v>
      </c>
      <c r="CA3" s="1" t="s">
        <v>21</v>
      </c>
      <c r="CB3" s="1" t="s">
        <v>21</v>
      </c>
      <c r="CC3" s="1" t="s">
        <v>31</v>
      </c>
      <c r="CD3" s="1" t="s">
        <v>31</v>
      </c>
      <c r="CE3" s="1" t="s">
        <v>28</v>
      </c>
      <c r="CF3" s="1" t="s">
        <v>28</v>
      </c>
      <c r="CG3" s="1" t="s">
        <v>24</v>
      </c>
      <c r="CH3" s="1" t="s">
        <v>32</v>
      </c>
      <c r="CI3" s="1" t="s">
        <v>24</v>
      </c>
      <c r="CJ3" s="1" t="s">
        <v>20</v>
      </c>
      <c r="CK3" s="1" t="s">
        <v>27</v>
      </c>
      <c r="CL3" s="1" t="s">
        <v>27</v>
      </c>
      <c r="CM3" s="1" t="s">
        <v>24</v>
      </c>
      <c r="CN3" s="1" t="s">
        <v>32</v>
      </c>
      <c r="CO3" s="1" t="s">
        <v>20</v>
      </c>
      <c r="CP3" s="1" t="s">
        <v>0</v>
      </c>
      <c r="CQ3" s="1" t="s">
        <v>26</v>
      </c>
      <c r="CR3" s="1" t="s">
        <v>0</v>
      </c>
      <c r="CS3" s="1" t="s">
        <v>20</v>
      </c>
      <c r="CT3" s="1" t="s">
        <v>20</v>
      </c>
      <c r="CU3" s="1" t="s">
        <v>22</v>
      </c>
      <c r="CV3" s="1" t="s">
        <v>22</v>
      </c>
      <c r="CW3" s="1" t="s">
        <v>31</v>
      </c>
      <c r="CX3" s="1" t="s">
        <v>26</v>
      </c>
      <c r="CY3" s="1" t="s">
        <v>26</v>
      </c>
      <c r="CZ3" s="1" t="s">
        <v>28</v>
      </c>
      <c r="DA3" s="1" t="s">
        <v>22</v>
      </c>
      <c r="DB3" s="1" t="s">
        <v>22</v>
      </c>
      <c r="DC3" s="1" t="s">
        <v>20</v>
      </c>
      <c r="DD3" s="1" t="s">
        <v>24</v>
      </c>
      <c r="DE3" s="1" t="s">
        <v>26</v>
      </c>
      <c r="DF3" s="1" t="s">
        <v>0</v>
      </c>
      <c r="DG3" s="1" t="s">
        <v>28</v>
      </c>
      <c r="DH3" s="1" t="s">
        <v>24</v>
      </c>
      <c r="DI3" s="1" t="s">
        <v>20</v>
      </c>
      <c r="DJ3" s="1" t="s">
        <v>20</v>
      </c>
      <c r="DK3" s="1" t="s">
        <v>24</v>
      </c>
      <c r="DL3" s="1" t="s">
        <v>28</v>
      </c>
      <c r="DM3" s="1" t="s">
        <v>20</v>
      </c>
      <c r="DN3" s="1" t="s">
        <v>20</v>
      </c>
      <c r="DO3" s="1" t="s">
        <v>26</v>
      </c>
      <c r="DP3" s="1" t="s">
        <v>20</v>
      </c>
      <c r="DQ3" s="1" t="s">
        <v>31</v>
      </c>
      <c r="DR3" s="1" t="s">
        <v>26</v>
      </c>
      <c r="DS3" s="1" t="s">
        <v>21</v>
      </c>
      <c r="DT3" s="1" t="s">
        <v>33</v>
      </c>
      <c r="DU3" s="1" t="s">
        <v>20</v>
      </c>
      <c r="DV3" s="1" t="s">
        <v>20</v>
      </c>
      <c r="DW3" s="1" t="s">
        <v>26</v>
      </c>
      <c r="DX3" s="1" t="s">
        <v>0</v>
      </c>
      <c r="DY3" s="1" t="s">
        <v>28</v>
      </c>
      <c r="DZ3" s="1" t="s">
        <v>26</v>
      </c>
      <c r="EA3" s="1" t="s">
        <v>21</v>
      </c>
      <c r="EB3" s="1" t="s">
        <v>26</v>
      </c>
      <c r="EC3" s="1" t="s">
        <v>0</v>
      </c>
      <c r="ED3" s="1" t="s">
        <v>26</v>
      </c>
      <c r="EE3" s="1" t="s">
        <v>34</v>
      </c>
      <c r="EF3" s="1" t="s">
        <v>26</v>
      </c>
      <c r="EG3" s="1" t="s">
        <v>20</v>
      </c>
      <c r="EH3" s="1" t="s">
        <v>0</v>
      </c>
      <c r="EI3" s="1" t="s">
        <v>0</v>
      </c>
      <c r="EJ3" s="1" t="s">
        <v>20</v>
      </c>
      <c r="EK3" s="1" t="s">
        <v>20</v>
      </c>
      <c r="EL3" s="1" t="s">
        <v>26</v>
      </c>
      <c r="EM3" s="1" t="s">
        <v>26</v>
      </c>
      <c r="EN3" s="1" t="s">
        <v>20</v>
      </c>
      <c r="EO3" s="1" t="s">
        <v>34</v>
      </c>
      <c r="EP3" s="1" t="s">
        <v>21</v>
      </c>
      <c r="EQ3" s="1" t="s">
        <v>0</v>
      </c>
      <c r="ER3" s="1" t="s">
        <v>0</v>
      </c>
      <c r="ES3" s="1" t="s">
        <v>34</v>
      </c>
      <c r="ET3" s="1" t="s">
        <v>0</v>
      </c>
      <c r="EU3" s="1" t="s">
        <v>0</v>
      </c>
      <c r="EV3" s="1" t="s">
        <v>20</v>
      </c>
      <c r="EW3" s="1" t="s">
        <v>20</v>
      </c>
      <c r="EX3" s="1" t="s">
        <v>0</v>
      </c>
      <c r="EY3" s="1" t="s">
        <v>21</v>
      </c>
      <c r="EZ3" s="1" t="s">
        <v>0</v>
      </c>
      <c r="FA3" s="1" t="s">
        <v>25</v>
      </c>
      <c r="FB3" s="1" t="s">
        <v>20</v>
      </c>
      <c r="FC3" s="1" t="s">
        <v>22</v>
      </c>
      <c r="FD3" s="1" t="s">
        <v>26</v>
      </c>
      <c r="FE3" s="1" t="s">
        <v>22</v>
      </c>
      <c r="FF3" s="1" t="s">
        <v>28</v>
      </c>
      <c r="FG3" s="1" t="s">
        <v>21</v>
      </c>
      <c r="FH3" s="1" t="s">
        <v>20</v>
      </c>
      <c r="FI3" s="1" t="s">
        <v>32</v>
      </c>
      <c r="FJ3" s="1" t="s">
        <v>26</v>
      </c>
      <c r="FK3" s="1" t="s">
        <v>20</v>
      </c>
      <c r="FL3" s="1" t="s">
        <v>26</v>
      </c>
      <c r="FM3" s="1" t="s">
        <v>20</v>
      </c>
      <c r="FN3" s="1" t="s">
        <v>35</v>
      </c>
      <c r="FO3" s="1" t="s">
        <v>27</v>
      </c>
      <c r="FP3" s="1" t="s">
        <v>20</v>
      </c>
      <c r="FQ3" s="1" t="s">
        <v>26</v>
      </c>
      <c r="FR3" s="1" t="s">
        <v>0</v>
      </c>
      <c r="FS3" s="1" t="s">
        <v>27</v>
      </c>
      <c r="FT3" s="1" t="s">
        <v>29</v>
      </c>
      <c r="FU3" s="1" t="s">
        <v>31</v>
      </c>
      <c r="FV3" s="1" t="s">
        <v>0</v>
      </c>
      <c r="FW3" s="1" t="s">
        <v>20</v>
      </c>
      <c r="FX3" s="1" t="s">
        <v>0</v>
      </c>
      <c r="FY3" s="1" t="s">
        <v>34</v>
      </c>
      <c r="FZ3" s="1" t="s">
        <v>0</v>
      </c>
      <c r="GA3" s="1" t="s">
        <v>26</v>
      </c>
      <c r="GB3" s="1" t="s">
        <v>24</v>
      </c>
      <c r="GC3" s="1" t="s">
        <v>20</v>
      </c>
      <c r="GD3" s="1" t="s">
        <v>0</v>
      </c>
      <c r="GE3" s="1" t="s">
        <v>20</v>
      </c>
      <c r="GF3" s="1" t="s">
        <v>26</v>
      </c>
      <c r="GG3" s="1" t="s">
        <v>20</v>
      </c>
      <c r="GH3" s="1" t="s">
        <v>20</v>
      </c>
      <c r="GI3" s="1" t="s">
        <v>26</v>
      </c>
      <c r="GJ3" s="1" t="s">
        <v>0</v>
      </c>
      <c r="GK3" s="1" t="s">
        <v>20</v>
      </c>
      <c r="GL3" s="1" t="s">
        <v>26</v>
      </c>
      <c r="GM3" s="1" t="s">
        <v>20</v>
      </c>
      <c r="GN3" s="1" t="s">
        <v>31</v>
      </c>
      <c r="GO3" s="1" t="s">
        <v>0</v>
      </c>
      <c r="GP3" s="1" t="s">
        <v>31</v>
      </c>
      <c r="GQ3" s="1" t="s">
        <v>20</v>
      </c>
      <c r="GR3" s="1" t="s">
        <v>27</v>
      </c>
      <c r="GS3" s="1" t="s">
        <v>20</v>
      </c>
      <c r="GT3" s="1" t="s">
        <v>27</v>
      </c>
      <c r="GU3" s="1" t="s">
        <v>20</v>
      </c>
      <c r="GV3" s="1" t="s">
        <v>0</v>
      </c>
      <c r="GW3" s="1" t="s">
        <v>27</v>
      </c>
      <c r="GX3" s="1" t="s">
        <v>31</v>
      </c>
      <c r="GY3" s="1" t="s">
        <v>22</v>
      </c>
      <c r="GZ3" s="1" t="s">
        <v>0</v>
      </c>
      <c r="HA3" s="1" t="s">
        <v>20</v>
      </c>
      <c r="HB3" s="1" t="s">
        <v>24</v>
      </c>
      <c r="HC3" s="1" t="s">
        <v>26</v>
      </c>
      <c r="HD3" s="1" t="s">
        <v>22</v>
      </c>
      <c r="HE3" s="1" t="s">
        <v>20</v>
      </c>
      <c r="HF3" s="1" t="s">
        <v>36</v>
      </c>
      <c r="HG3" s="1" t="s">
        <v>28</v>
      </c>
      <c r="HH3" s="1" t="s">
        <v>30</v>
      </c>
      <c r="HI3" s="1" t="s">
        <v>31</v>
      </c>
      <c r="HJ3" s="1" t="s">
        <v>0</v>
      </c>
      <c r="HK3" s="1" t="s">
        <v>32</v>
      </c>
      <c r="HL3" s="1" t="s">
        <v>22</v>
      </c>
      <c r="HM3" s="1" t="s">
        <v>20</v>
      </c>
      <c r="HN3" s="1" t="s">
        <v>20</v>
      </c>
      <c r="HO3" s="1" t="s">
        <v>30</v>
      </c>
      <c r="HP3" s="1" t="s">
        <v>22</v>
      </c>
      <c r="HQ3" s="1" t="s">
        <v>0</v>
      </c>
      <c r="HR3" s="1" t="s">
        <v>20</v>
      </c>
      <c r="HS3" s="1" t="s">
        <v>22</v>
      </c>
      <c r="HT3" s="1" t="s">
        <v>30</v>
      </c>
      <c r="HU3" s="1" t="s">
        <v>22</v>
      </c>
      <c r="HV3" s="1" t="s">
        <v>27</v>
      </c>
      <c r="HW3" s="1" t="s">
        <v>0</v>
      </c>
      <c r="HX3" s="1" t="s">
        <v>26</v>
      </c>
      <c r="HY3" s="1" t="s">
        <v>22</v>
      </c>
      <c r="HZ3" s="1" t="s">
        <v>20</v>
      </c>
      <c r="IA3" s="1" t="s">
        <v>0</v>
      </c>
      <c r="IB3" s="1" t="s">
        <v>26</v>
      </c>
      <c r="IC3" s="1" t="s">
        <v>0</v>
      </c>
      <c r="ID3" s="1" t="s">
        <v>28</v>
      </c>
      <c r="IE3" s="1" t="s">
        <v>24</v>
      </c>
      <c r="IF3" s="1" t="s">
        <v>0</v>
      </c>
      <c r="IG3" s="1" t="s">
        <v>28</v>
      </c>
      <c r="IH3" s="1" t="s">
        <v>0</v>
      </c>
      <c r="II3" s="1" t="s">
        <v>34</v>
      </c>
      <c r="IJ3" s="1" t="s">
        <v>27</v>
      </c>
      <c r="IK3" s="1" t="s">
        <v>0</v>
      </c>
      <c r="IL3" s="1" t="s">
        <v>0</v>
      </c>
      <c r="IM3" s="1" t="s">
        <v>0</v>
      </c>
      <c r="IN3" s="1" t="s">
        <v>20</v>
      </c>
      <c r="IO3" s="1" t="s">
        <v>0</v>
      </c>
      <c r="IP3" s="1" t="s">
        <v>27</v>
      </c>
      <c r="IQ3" s="1" t="s">
        <v>26</v>
      </c>
      <c r="IR3" s="1" t="s">
        <v>27</v>
      </c>
      <c r="IS3" s="1" t="s">
        <v>0</v>
      </c>
      <c r="IT3" s="1" t="s">
        <v>22</v>
      </c>
      <c r="IU3" s="1" t="s">
        <v>20</v>
      </c>
    </row>
    <row r="5" spans="1:255" x14ac:dyDescent="0.2">
      <c r="A5" s="7" t="s">
        <v>86</v>
      </c>
      <c r="B5" s="2"/>
      <c r="C5" s="2"/>
      <c r="D5" s="2"/>
      <c r="E5" s="2"/>
      <c r="G5" s="2"/>
    </row>
    <row r="7" spans="1:255" x14ac:dyDescent="0.2">
      <c r="D7" s="1">
        <v>1</v>
      </c>
      <c r="E7" s="1">
        <v>77</v>
      </c>
      <c r="F7" s="1">
        <v>130</v>
      </c>
      <c r="G7" s="1">
        <v>157</v>
      </c>
      <c r="H7" s="1">
        <v>208</v>
      </c>
      <c r="I7" s="1">
        <v>304</v>
      </c>
      <c r="J7" s="1">
        <v>318</v>
      </c>
      <c r="K7" s="1">
        <v>389</v>
      </c>
      <c r="L7" s="1">
        <v>439</v>
      </c>
      <c r="M7" s="1">
        <v>476</v>
      </c>
      <c r="N7" s="1">
        <v>489</v>
      </c>
      <c r="O7" s="1">
        <v>574</v>
      </c>
      <c r="P7" s="1">
        <v>644</v>
      </c>
      <c r="Q7" s="1">
        <v>715</v>
      </c>
      <c r="R7" s="1">
        <v>765</v>
      </c>
      <c r="S7" s="1">
        <v>829</v>
      </c>
      <c r="T7" s="1">
        <v>918</v>
      </c>
      <c r="U7" s="1">
        <v>987</v>
      </c>
      <c r="V7" s="1">
        <v>1068</v>
      </c>
      <c r="W7" s="1">
        <v>1145</v>
      </c>
      <c r="X7" s="1">
        <v>1240</v>
      </c>
      <c r="Y7" s="1">
        <v>1321</v>
      </c>
      <c r="Z7" s="1">
        <v>1417</v>
      </c>
      <c r="AA7" s="1">
        <v>1439</v>
      </c>
      <c r="AB7" s="1">
        <v>1525</v>
      </c>
      <c r="AC7" s="1">
        <v>1622</v>
      </c>
      <c r="AD7" s="1">
        <v>1629</v>
      </c>
      <c r="AE7" s="1">
        <v>1706</v>
      </c>
      <c r="AF7" s="1">
        <v>1715</v>
      </c>
      <c r="AG7" s="1">
        <v>1788</v>
      </c>
      <c r="AH7" s="1">
        <v>1823</v>
      </c>
      <c r="AI7" s="1">
        <v>1875</v>
      </c>
      <c r="AJ7" s="1">
        <v>1910</v>
      </c>
      <c r="AK7" s="1">
        <v>1978</v>
      </c>
      <c r="AL7" s="1">
        <v>2004</v>
      </c>
      <c r="AM7" s="1">
        <v>2024</v>
      </c>
      <c r="AN7" s="1">
        <v>2089</v>
      </c>
      <c r="AO7" s="1">
        <v>2139</v>
      </c>
      <c r="AP7" s="1">
        <v>2235</v>
      </c>
      <c r="AQ7" s="1">
        <v>2301</v>
      </c>
      <c r="AR7" s="1">
        <v>2305</v>
      </c>
      <c r="AS7" s="1">
        <v>2347</v>
      </c>
      <c r="AT7" s="1">
        <v>2400</v>
      </c>
      <c r="AU7" s="1">
        <v>2459</v>
      </c>
      <c r="AV7" s="1">
        <v>2535</v>
      </c>
      <c r="AW7" s="1">
        <v>2565</v>
      </c>
      <c r="AX7" s="1">
        <v>2576</v>
      </c>
      <c r="AY7" s="1">
        <v>2582</v>
      </c>
      <c r="AZ7" s="1">
        <v>2633</v>
      </c>
      <c r="BA7" s="1">
        <v>2680</v>
      </c>
      <c r="BB7" s="1">
        <v>2711</v>
      </c>
      <c r="BC7" s="1">
        <v>2771</v>
      </c>
      <c r="BD7" s="1">
        <v>2831</v>
      </c>
      <c r="BE7" s="1">
        <v>2851</v>
      </c>
      <c r="BF7" s="1">
        <v>2911</v>
      </c>
      <c r="BG7" s="1">
        <v>2957</v>
      </c>
      <c r="BH7" s="1">
        <v>3027</v>
      </c>
      <c r="BI7" s="1">
        <v>3053</v>
      </c>
      <c r="BJ7" s="1">
        <v>3143</v>
      </c>
      <c r="BK7" s="1">
        <v>3150</v>
      </c>
      <c r="BL7" s="1">
        <v>3198</v>
      </c>
      <c r="BM7" s="1">
        <v>3265</v>
      </c>
      <c r="BN7" s="1">
        <v>3362</v>
      </c>
      <c r="BO7" s="1">
        <v>3374</v>
      </c>
      <c r="BP7" s="1">
        <v>3392</v>
      </c>
      <c r="BQ7" s="1">
        <v>3470</v>
      </c>
      <c r="BR7" s="1">
        <v>3533</v>
      </c>
      <c r="BS7" s="1">
        <v>3595</v>
      </c>
      <c r="BT7" s="1">
        <v>3657</v>
      </c>
      <c r="BU7" s="1">
        <v>3679</v>
      </c>
      <c r="BV7" s="1">
        <v>3751</v>
      </c>
      <c r="BW7" s="1">
        <v>3838</v>
      </c>
      <c r="BX7" s="1">
        <v>3848</v>
      </c>
      <c r="BY7" s="1">
        <v>3852</v>
      </c>
      <c r="BZ7" s="1">
        <v>3863</v>
      </c>
      <c r="CA7" s="1">
        <v>3944</v>
      </c>
      <c r="CB7" s="1">
        <v>4002</v>
      </c>
      <c r="CC7" s="1">
        <v>4090</v>
      </c>
      <c r="CD7" s="1">
        <v>4120</v>
      </c>
      <c r="CE7" s="1">
        <v>4216</v>
      </c>
      <c r="CF7" s="1">
        <v>4275</v>
      </c>
      <c r="CG7" s="1">
        <v>4293</v>
      </c>
      <c r="CH7" s="1">
        <v>4351</v>
      </c>
      <c r="CI7" s="1">
        <v>4428</v>
      </c>
      <c r="CJ7" s="1">
        <v>4527</v>
      </c>
      <c r="CK7" s="1">
        <v>4569</v>
      </c>
      <c r="CL7" s="1">
        <v>4633</v>
      </c>
      <c r="CM7" s="1">
        <v>4683</v>
      </c>
      <c r="CN7" s="1">
        <v>4740</v>
      </c>
      <c r="CO7" s="1">
        <v>4802</v>
      </c>
      <c r="CP7" s="1">
        <v>4888</v>
      </c>
      <c r="CQ7" s="1">
        <v>4888</v>
      </c>
      <c r="CR7" s="1">
        <v>4896</v>
      </c>
      <c r="CS7" s="1">
        <v>4993</v>
      </c>
      <c r="CT7" s="1">
        <v>5082</v>
      </c>
      <c r="CU7" s="1">
        <v>5152</v>
      </c>
      <c r="CV7" s="1">
        <v>5223</v>
      </c>
      <c r="CW7" s="1">
        <v>5290</v>
      </c>
      <c r="CX7" s="1">
        <v>5386</v>
      </c>
      <c r="CY7" s="1">
        <v>5450</v>
      </c>
      <c r="CZ7" s="1">
        <v>5478</v>
      </c>
      <c r="DA7" s="1">
        <v>5530</v>
      </c>
      <c r="DB7" s="1">
        <v>5552</v>
      </c>
      <c r="DC7" s="1">
        <v>5606</v>
      </c>
      <c r="DD7" s="1">
        <v>5628</v>
      </c>
      <c r="DE7" s="1">
        <v>5710</v>
      </c>
      <c r="DF7" s="1">
        <v>5724</v>
      </c>
      <c r="DG7" s="1">
        <v>5822</v>
      </c>
      <c r="DH7" s="1">
        <v>5881</v>
      </c>
      <c r="DI7" s="1">
        <v>5970</v>
      </c>
      <c r="DJ7" s="1">
        <v>6013</v>
      </c>
      <c r="DK7" s="1">
        <v>6049</v>
      </c>
      <c r="DL7" s="1">
        <v>6121</v>
      </c>
      <c r="DM7" s="1">
        <v>6189</v>
      </c>
      <c r="DN7" s="1">
        <v>6260</v>
      </c>
      <c r="DO7" s="1">
        <v>6288</v>
      </c>
      <c r="DP7" s="1">
        <v>6316</v>
      </c>
      <c r="DQ7" s="1">
        <v>6358</v>
      </c>
      <c r="DR7" s="1">
        <v>6450</v>
      </c>
      <c r="DS7" s="1">
        <v>6513</v>
      </c>
      <c r="DT7" s="1">
        <v>6581</v>
      </c>
      <c r="DU7" s="1">
        <v>6585</v>
      </c>
      <c r="DV7" s="1">
        <v>6613</v>
      </c>
      <c r="DW7" s="1">
        <v>6673</v>
      </c>
      <c r="DX7" s="1">
        <v>6725</v>
      </c>
      <c r="DY7" s="1">
        <v>6798</v>
      </c>
      <c r="DZ7" s="1">
        <v>6883</v>
      </c>
      <c r="EA7" s="1">
        <v>6954</v>
      </c>
      <c r="EB7" s="1">
        <v>7023</v>
      </c>
      <c r="EC7" s="1">
        <v>7113</v>
      </c>
      <c r="ED7" s="1">
        <v>7145</v>
      </c>
      <c r="EE7" s="1">
        <v>7161</v>
      </c>
      <c r="EF7" s="1">
        <v>7250</v>
      </c>
      <c r="EG7" s="1">
        <v>7262</v>
      </c>
      <c r="EH7" s="1">
        <v>7322</v>
      </c>
      <c r="EI7" s="1">
        <v>7357</v>
      </c>
      <c r="EJ7" s="1">
        <v>7399</v>
      </c>
      <c r="EK7" s="1">
        <v>7432</v>
      </c>
      <c r="EL7" s="1">
        <v>7457</v>
      </c>
      <c r="EM7" s="1">
        <v>7478</v>
      </c>
      <c r="EN7" s="1">
        <v>7501</v>
      </c>
      <c r="EO7" s="1">
        <v>7544</v>
      </c>
      <c r="EP7" s="1">
        <v>7613</v>
      </c>
      <c r="EQ7" s="1">
        <v>7661</v>
      </c>
      <c r="ER7" s="1">
        <v>7669</v>
      </c>
      <c r="ES7" s="1">
        <v>7713</v>
      </c>
      <c r="ET7" s="1">
        <v>7753</v>
      </c>
      <c r="EU7" s="1">
        <v>7818</v>
      </c>
      <c r="EV7" s="1">
        <v>7836</v>
      </c>
      <c r="EW7" s="1">
        <v>7865</v>
      </c>
      <c r="EX7" s="1">
        <v>7875</v>
      </c>
      <c r="EY7" s="1">
        <v>7909</v>
      </c>
      <c r="EZ7" s="1">
        <v>7947</v>
      </c>
      <c r="FA7" s="1">
        <v>7969</v>
      </c>
      <c r="FB7" s="1">
        <v>8032</v>
      </c>
      <c r="FC7" s="1">
        <v>8103</v>
      </c>
      <c r="FD7" s="1">
        <v>8128</v>
      </c>
      <c r="FE7" s="1">
        <v>8194</v>
      </c>
      <c r="FF7" s="1">
        <v>8263</v>
      </c>
      <c r="FG7" s="1">
        <v>8279</v>
      </c>
      <c r="FH7" s="1">
        <v>8338</v>
      </c>
      <c r="FI7" s="1">
        <v>8426</v>
      </c>
      <c r="FJ7" s="1">
        <v>8515</v>
      </c>
      <c r="FK7" s="1">
        <v>8551</v>
      </c>
      <c r="FL7" s="1">
        <v>8562</v>
      </c>
      <c r="FM7" s="1">
        <v>8633</v>
      </c>
      <c r="FN7" s="1">
        <v>8713</v>
      </c>
      <c r="FO7" s="1">
        <v>8804</v>
      </c>
      <c r="FP7" s="1">
        <v>8856</v>
      </c>
      <c r="FQ7" s="1">
        <v>8862</v>
      </c>
      <c r="FR7" s="1">
        <v>8938</v>
      </c>
      <c r="FS7" s="1">
        <v>8954</v>
      </c>
      <c r="FT7" s="1">
        <v>8986</v>
      </c>
      <c r="FU7" s="1">
        <v>9064</v>
      </c>
      <c r="FV7" s="1">
        <v>9142</v>
      </c>
      <c r="FW7" s="1">
        <v>9171</v>
      </c>
      <c r="FX7" s="1">
        <v>9198</v>
      </c>
      <c r="FY7" s="1">
        <v>9233</v>
      </c>
      <c r="FZ7" s="1">
        <v>9317</v>
      </c>
      <c r="GA7" s="1">
        <v>9352</v>
      </c>
      <c r="GB7" s="1">
        <v>9427</v>
      </c>
      <c r="GC7" s="1">
        <v>9445</v>
      </c>
      <c r="GD7" s="1">
        <v>9458</v>
      </c>
      <c r="GE7" s="1">
        <v>9459</v>
      </c>
      <c r="GF7" s="1">
        <v>9494</v>
      </c>
      <c r="GG7" s="1">
        <v>9554</v>
      </c>
      <c r="GH7" s="1">
        <v>9643</v>
      </c>
      <c r="GI7" s="1">
        <v>9706</v>
      </c>
      <c r="GJ7" s="1">
        <v>9706</v>
      </c>
      <c r="GK7" s="1">
        <v>9767</v>
      </c>
      <c r="GL7" s="1">
        <v>9825</v>
      </c>
      <c r="GM7" s="1">
        <v>9883</v>
      </c>
      <c r="GN7" s="1">
        <v>9956</v>
      </c>
      <c r="GO7" s="1">
        <v>10039</v>
      </c>
      <c r="GP7" s="1">
        <v>10066</v>
      </c>
      <c r="GQ7" s="1">
        <v>10162</v>
      </c>
      <c r="GR7" s="1">
        <v>10234</v>
      </c>
      <c r="GS7" s="1">
        <v>10279</v>
      </c>
      <c r="GT7" s="1">
        <v>10341</v>
      </c>
      <c r="GU7" s="1">
        <v>10389</v>
      </c>
      <c r="GV7" s="1">
        <v>10411</v>
      </c>
      <c r="GW7" s="1">
        <v>10444</v>
      </c>
      <c r="GX7" s="1">
        <v>10455</v>
      </c>
      <c r="GY7" s="1">
        <v>10488</v>
      </c>
      <c r="GZ7" s="1">
        <v>10554</v>
      </c>
      <c r="HA7" s="1">
        <v>10633</v>
      </c>
      <c r="HB7" s="1">
        <v>10712</v>
      </c>
      <c r="HC7" s="1">
        <v>10792</v>
      </c>
      <c r="HD7" s="1">
        <v>10858</v>
      </c>
      <c r="HE7" s="1">
        <v>10952</v>
      </c>
      <c r="HF7" s="1">
        <v>10965</v>
      </c>
      <c r="HG7" s="1">
        <v>11052</v>
      </c>
      <c r="HH7" s="1">
        <v>11107</v>
      </c>
      <c r="HI7" s="1">
        <v>11169</v>
      </c>
      <c r="HJ7" s="1">
        <v>11266</v>
      </c>
      <c r="HK7" s="1">
        <v>11301</v>
      </c>
      <c r="HL7" s="1">
        <v>11307</v>
      </c>
      <c r="HM7" s="1">
        <v>11391</v>
      </c>
      <c r="HN7" s="1">
        <v>11457</v>
      </c>
      <c r="HO7" s="1">
        <v>11546</v>
      </c>
      <c r="HP7" s="1">
        <v>11643</v>
      </c>
      <c r="HQ7" s="1">
        <v>11689</v>
      </c>
      <c r="HR7" s="1">
        <v>11773</v>
      </c>
      <c r="HS7" s="1">
        <v>11803</v>
      </c>
      <c r="HT7" s="1">
        <v>11832</v>
      </c>
      <c r="HU7" s="1">
        <v>11909</v>
      </c>
      <c r="HV7" s="1">
        <v>11993</v>
      </c>
      <c r="HW7" s="1">
        <v>12075</v>
      </c>
      <c r="HX7" s="1">
        <v>12111</v>
      </c>
      <c r="HY7" s="1">
        <v>12158</v>
      </c>
      <c r="HZ7" s="1">
        <v>12169</v>
      </c>
      <c r="IA7" s="1">
        <v>12256</v>
      </c>
      <c r="IB7" s="1">
        <v>12337</v>
      </c>
      <c r="IC7" s="1">
        <v>12348</v>
      </c>
      <c r="ID7" s="1">
        <v>12416</v>
      </c>
      <c r="IE7" s="1">
        <v>12451</v>
      </c>
      <c r="IF7" s="1">
        <v>12500</v>
      </c>
      <c r="IG7" s="1">
        <v>12510</v>
      </c>
      <c r="IH7" s="1">
        <v>12591</v>
      </c>
      <c r="II7" s="1">
        <v>12595</v>
      </c>
      <c r="IJ7" s="1">
        <v>12684</v>
      </c>
      <c r="IK7" s="1">
        <v>12714</v>
      </c>
      <c r="IL7" s="1">
        <v>12804</v>
      </c>
      <c r="IM7" s="1">
        <v>12876</v>
      </c>
      <c r="IN7" s="1">
        <v>12955</v>
      </c>
      <c r="IO7" s="1">
        <v>12972</v>
      </c>
      <c r="IP7" s="1">
        <v>12997</v>
      </c>
      <c r="IQ7" s="1">
        <v>13047</v>
      </c>
      <c r="IR7" s="1">
        <v>13104</v>
      </c>
      <c r="IS7" s="1">
        <v>13182</v>
      </c>
      <c r="IT7" s="1">
        <v>13184</v>
      </c>
      <c r="IU7" s="1">
        <v>13215</v>
      </c>
    </row>
    <row r="9" spans="1:255" x14ac:dyDescent="0.2">
      <c r="A9" s="7" t="s">
        <v>87</v>
      </c>
      <c r="B9" s="2"/>
      <c r="C9" s="2"/>
      <c r="D9" s="2"/>
      <c r="E9" s="2"/>
      <c r="G9" s="2"/>
    </row>
    <row r="10" spans="1:255" x14ac:dyDescent="0.2">
      <c r="A10" s="7" t="s">
        <v>93</v>
      </c>
      <c r="B10" s="2"/>
      <c r="C10" s="2"/>
      <c r="D10" s="2"/>
      <c r="E10" s="2"/>
      <c r="G10" s="6"/>
    </row>
    <row r="12" spans="1:255" s="3" customFormat="1" x14ac:dyDescent="0.2">
      <c r="A12" s="4" t="s">
        <v>37</v>
      </c>
    </row>
    <row r="14" spans="1:255" x14ac:dyDescent="0.2">
      <c r="D14" s="1">
        <v>461</v>
      </c>
      <c r="E14" s="1">
        <v>635</v>
      </c>
      <c r="F14" s="1">
        <v>164</v>
      </c>
      <c r="G14" s="1">
        <v>751</v>
      </c>
      <c r="H14" s="1">
        <v>278</v>
      </c>
      <c r="I14" s="1">
        <v>638</v>
      </c>
      <c r="J14" s="1">
        <v>434</v>
      </c>
      <c r="K14" s="1">
        <v>863</v>
      </c>
      <c r="L14" s="1">
        <v>740</v>
      </c>
      <c r="M14" s="1">
        <v>940</v>
      </c>
      <c r="N14" s="1">
        <v>594</v>
      </c>
      <c r="O14" s="1">
        <v>757</v>
      </c>
      <c r="P14" s="1">
        <v>52</v>
      </c>
      <c r="Q14" s="1">
        <v>907</v>
      </c>
      <c r="R14" s="1">
        <v>181</v>
      </c>
      <c r="S14" s="1">
        <v>445</v>
      </c>
      <c r="T14" s="1">
        <v>294</v>
      </c>
      <c r="U14" s="1">
        <v>46</v>
      </c>
      <c r="V14" s="1">
        <v>825</v>
      </c>
      <c r="W14" s="1">
        <v>745</v>
      </c>
      <c r="X14" s="1">
        <v>150</v>
      </c>
      <c r="Y14" s="1">
        <v>818</v>
      </c>
      <c r="Z14" s="1">
        <v>65</v>
      </c>
      <c r="AA14" s="1">
        <v>595</v>
      </c>
      <c r="AB14" s="1">
        <v>394</v>
      </c>
      <c r="AC14" s="1">
        <v>207</v>
      </c>
      <c r="AD14" s="1">
        <v>915</v>
      </c>
      <c r="AE14" s="1">
        <v>754</v>
      </c>
      <c r="AF14" s="1">
        <v>141</v>
      </c>
      <c r="AG14" s="1">
        <v>555</v>
      </c>
      <c r="AH14" s="1">
        <v>269</v>
      </c>
      <c r="AI14" s="1">
        <v>199</v>
      </c>
      <c r="AJ14" s="1">
        <v>189</v>
      </c>
      <c r="AK14" s="1">
        <v>169</v>
      </c>
      <c r="AL14" s="1">
        <v>348</v>
      </c>
      <c r="AM14" s="1">
        <v>431</v>
      </c>
      <c r="AN14" s="1">
        <v>641</v>
      </c>
      <c r="AO14" s="1">
        <v>221</v>
      </c>
      <c r="AP14" s="1">
        <v>739</v>
      </c>
      <c r="AQ14" s="1">
        <v>69</v>
      </c>
      <c r="AR14" s="1">
        <v>79</v>
      </c>
      <c r="AS14" s="1">
        <v>7.5</v>
      </c>
      <c r="AT14" s="1">
        <v>59</v>
      </c>
      <c r="AU14" s="1">
        <v>443</v>
      </c>
      <c r="AV14" s="1">
        <v>577</v>
      </c>
      <c r="AW14" s="1">
        <v>960</v>
      </c>
      <c r="AX14" s="1">
        <v>672</v>
      </c>
      <c r="AY14" s="1">
        <v>851</v>
      </c>
      <c r="AZ14" s="1">
        <v>643</v>
      </c>
      <c r="BA14" s="1">
        <v>883</v>
      </c>
      <c r="BB14" s="1">
        <v>782</v>
      </c>
      <c r="BC14" s="1">
        <v>703</v>
      </c>
      <c r="BD14" s="1">
        <v>531</v>
      </c>
      <c r="BE14" s="1">
        <v>891</v>
      </c>
      <c r="BF14" s="1">
        <v>945</v>
      </c>
      <c r="BG14" s="1">
        <v>961</v>
      </c>
      <c r="BH14" s="1">
        <v>991</v>
      </c>
      <c r="BI14" s="1">
        <v>940</v>
      </c>
    </row>
    <row r="15" spans="1:255" x14ac:dyDescent="0.2">
      <c r="D15" s="1">
        <v>162</v>
      </c>
      <c r="E15" s="1">
        <v>842</v>
      </c>
      <c r="F15" s="1">
        <v>263</v>
      </c>
      <c r="G15" s="1">
        <v>865</v>
      </c>
      <c r="H15" s="1">
        <v>109</v>
      </c>
      <c r="I15" s="1">
        <v>670</v>
      </c>
      <c r="J15" s="1">
        <v>600</v>
      </c>
      <c r="K15" s="1">
        <v>167</v>
      </c>
      <c r="L15" s="1">
        <v>854</v>
      </c>
      <c r="M15" s="1">
        <v>824</v>
      </c>
      <c r="N15" s="1">
        <v>399</v>
      </c>
      <c r="O15" s="1">
        <v>689</v>
      </c>
      <c r="P15" s="1">
        <v>331</v>
      </c>
      <c r="Q15" s="1">
        <v>243</v>
      </c>
      <c r="R15" s="1">
        <v>562</v>
      </c>
      <c r="S15" s="1">
        <v>600</v>
      </c>
      <c r="T15" s="1">
        <v>554</v>
      </c>
      <c r="U15" s="1">
        <v>765</v>
      </c>
      <c r="V15" s="1">
        <v>808</v>
      </c>
      <c r="W15" s="1">
        <v>105</v>
      </c>
      <c r="X15" s="1">
        <v>403</v>
      </c>
      <c r="Y15" s="1">
        <v>18</v>
      </c>
      <c r="Z15" s="1">
        <v>703</v>
      </c>
      <c r="AA15" s="1">
        <v>792</v>
      </c>
      <c r="AB15" s="1">
        <v>17</v>
      </c>
      <c r="AC15" s="1">
        <v>49</v>
      </c>
      <c r="AD15" s="1">
        <v>880</v>
      </c>
      <c r="AE15" s="1">
        <v>743</v>
      </c>
      <c r="AF15" s="1">
        <v>869</v>
      </c>
      <c r="AG15" s="1">
        <v>328</v>
      </c>
      <c r="AH15" s="1">
        <v>613</v>
      </c>
      <c r="AI15" s="1">
        <v>319</v>
      </c>
      <c r="AJ15" s="1">
        <v>296</v>
      </c>
      <c r="AK15" s="1">
        <v>174</v>
      </c>
      <c r="AL15" s="1">
        <v>668</v>
      </c>
      <c r="AM15" s="1">
        <v>672</v>
      </c>
      <c r="AN15" s="1">
        <v>625</v>
      </c>
      <c r="AO15" s="1">
        <v>409</v>
      </c>
      <c r="AP15" s="1">
        <v>941</v>
      </c>
      <c r="AQ15" s="1">
        <v>483</v>
      </c>
      <c r="AR15" s="1">
        <v>514</v>
      </c>
      <c r="AS15" s="1">
        <v>886</v>
      </c>
      <c r="AT15" s="1">
        <v>991</v>
      </c>
      <c r="AU15" s="1">
        <v>54</v>
      </c>
      <c r="AV15" s="1">
        <v>765</v>
      </c>
      <c r="AW15" s="1">
        <v>941</v>
      </c>
      <c r="AX15" s="1">
        <v>615</v>
      </c>
      <c r="AY15" s="1">
        <v>572</v>
      </c>
      <c r="AZ15" s="1">
        <v>200</v>
      </c>
      <c r="BA15" s="1">
        <v>967</v>
      </c>
      <c r="BB15" s="1">
        <v>358</v>
      </c>
      <c r="BC15" s="1">
        <v>916</v>
      </c>
      <c r="BD15" s="1">
        <v>449</v>
      </c>
      <c r="BE15" s="1">
        <v>18</v>
      </c>
      <c r="BF15" s="1">
        <v>593</v>
      </c>
      <c r="BG15" s="1">
        <v>299</v>
      </c>
      <c r="BH15" s="1">
        <v>974</v>
      </c>
      <c r="BI15" s="1">
        <v>605</v>
      </c>
    </row>
    <row r="16" spans="1:255" x14ac:dyDescent="0.2">
      <c r="D16" s="1">
        <v>800</v>
      </c>
      <c r="E16" s="1">
        <v>919</v>
      </c>
      <c r="F16" s="1">
        <v>702</v>
      </c>
      <c r="G16" s="1">
        <v>118</v>
      </c>
      <c r="H16" s="1">
        <v>477</v>
      </c>
      <c r="I16" s="1">
        <v>303</v>
      </c>
      <c r="J16" s="1">
        <v>76</v>
      </c>
      <c r="K16" s="1">
        <v>140</v>
      </c>
      <c r="L16" s="1">
        <v>255</v>
      </c>
      <c r="M16" s="1">
        <v>873</v>
      </c>
      <c r="N16" s="1">
        <v>545</v>
      </c>
      <c r="O16" s="1">
        <v>805</v>
      </c>
      <c r="P16" s="1">
        <v>174</v>
      </c>
      <c r="Q16" s="1">
        <v>984</v>
      </c>
      <c r="R16" s="1">
        <v>395</v>
      </c>
      <c r="S16" s="1">
        <v>148</v>
      </c>
      <c r="T16" s="1">
        <v>410</v>
      </c>
      <c r="U16" s="1">
        <v>525</v>
      </c>
      <c r="V16" s="1">
        <v>490</v>
      </c>
      <c r="W16" s="1">
        <v>582</v>
      </c>
      <c r="X16" s="1">
        <v>467</v>
      </c>
      <c r="Y16" s="1">
        <v>272</v>
      </c>
      <c r="Z16" s="1">
        <v>930</v>
      </c>
      <c r="AA16" s="1">
        <v>7</v>
      </c>
      <c r="AB16" s="1">
        <v>719</v>
      </c>
      <c r="AC16" s="1">
        <v>569</v>
      </c>
      <c r="AD16" s="1">
        <v>391</v>
      </c>
      <c r="AE16" s="1">
        <v>262</v>
      </c>
      <c r="AF16" s="1">
        <v>32</v>
      </c>
      <c r="AG16" s="1">
        <v>886</v>
      </c>
      <c r="AH16" s="1">
        <v>647</v>
      </c>
      <c r="AI16" s="1">
        <v>809</v>
      </c>
      <c r="AJ16" s="1">
        <v>487</v>
      </c>
      <c r="AK16" s="1">
        <v>503</v>
      </c>
      <c r="AL16" s="1">
        <v>365</v>
      </c>
      <c r="AM16" s="1">
        <v>849</v>
      </c>
      <c r="AN16" s="1">
        <v>865</v>
      </c>
      <c r="AO16" s="1">
        <v>907</v>
      </c>
      <c r="AP16" s="1">
        <v>888</v>
      </c>
      <c r="AQ16" s="1">
        <v>740</v>
      </c>
      <c r="AR16" s="1">
        <v>978</v>
      </c>
      <c r="AS16" s="1">
        <v>966</v>
      </c>
      <c r="AT16" s="1">
        <v>368</v>
      </c>
      <c r="AU16" s="1">
        <v>533</v>
      </c>
      <c r="AV16" s="1">
        <v>181</v>
      </c>
      <c r="AW16" s="1">
        <v>28</v>
      </c>
      <c r="AX16" s="1">
        <v>479</v>
      </c>
      <c r="AY16" s="1">
        <v>797</v>
      </c>
      <c r="AZ16" s="1">
        <v>946</v>
      </c>
      <c r="BA16" s="1">
        <v>784</v>
      </c>
      <c r="BB16" s="1">
        <v>318</v>
      </c>
      <c r="BC16" s="1">
        <v>555</v>
      </c>
      <c r="BD16" s="1">
        <v>600</v>
      </c>
      <c r="BE16" s="1">
        <v>490</v>
      </c>
      <c r="BF16" s="1">
        <v>703</v>
      </c>
      <c r="BG16" s="1">
        <v>622</v>
      </c>
      <c r="BH16" s="1">
        <v>994</v>
      </c>
      <c r="BI16" s="1">
        <v>955</v>
      </c>
    </row>
    <row r="17" spans="1:61" x14ac:dyDescent="0.2">
      <c r="D17" s="1">
        <v>251</v>
      </c>
      <c r="E17" s="1">
        <v>404</v>
      </c>
      <c r="F17" s="1">
        <v>228</v>
      </c>
      <c r="G17" s="1">
        <v>972</v>
      </c>
      <c r="H17" s="1">
        <v>386</v>
      </c>
      <c r="I17" s="1">
        <v>308</v>
      </c>
      <c r="J17" s="1">
        <v>103</v>
      </c>
      <c r="K17" s="1">
        <v>510</v>
      </c>
      <c r="L17" s="1">
        <v>899</v>
      </c>
      <c r="M17" s="1">
        <v>233</v>
      </c>
      <c r="N17" s="1">
        <v>870</v>
      </c>
      <c r="O17" s="1">
        <v>938</v>
      </c>
      <c r="P17" s="1">
        <v>796</v>
      </c>
      <c r="Q17" s="1">
        <v>26</v>
      </c>
      <c r="R17" s="1">
        <v>877</v>
      </c>
      <c r="S17" s="1">
        <v>451</v>
      </c>
      <c r="T17" s="1">
        <v>415</v>
      </c>
      <c r="U17" s="1">
        <v>449</v>
      </c>
      <c r="V17" s="1">
        <v>530</v>
      </c>
      <c r="W17" s="1">
        <v>236</v>
      </c>
      <c r="X17" s="1">
        <v>702</v>
      </c>
      <c r="Y17" s="1">
        <v>951</v>
      </c>
      <c r="Z17" s="1">
        <v>526</v>
      </c>
      <c r="AA17" s="1">
        <v>253</v>
      </c>
      <c r="AB17" s="1">
        <v>36</v>
      </c>
      <c r="AC17" s="1">
        <v>459</v>
      </c>
      <c r="AD17" s="1">
        <v>783</v>
      </c>
      <c r="AE17" s="1">
        <v>688</v>
      </c>
      <c r="AF17" s="1">
        <v>809</v>
      </c>
      <c r="AG17" s="1">
        <v>530</v>
      </c>
      <c r="AH17" s="1">
        <v>356</v>
      </c>
      <c r="AI17" s="1">
        <v>208</v>
      </c>
      <c r="AJ17" s="1">
        <v>915</v>
      </c>
      <c r="AK17" s="1">
        <v>432</v>
      </c>
      <c r="AL17" s="1">
        <v>763</v>
      </c>
      <c r="AM17" s="1">
        <v>210</v>
      </c>
      <c r="AN17" s="1">
        <v>574</v>
      </c>
      <c r="AO17" s="1">
        <v>763</v>
      </c>
      <c r="AP17" s="1">
        <v>564</v>
      </c>
      <c r="AQ17" s="1">
        <v>66</v>
      </c>
      <c r="AR17" s="1">
        <v>666</v>
      </c>
      <c r="AS17" s="1">
        <v>818</v>
      </c>
      <c r="AT17" s="1">
        <v>256</v>
      </c>
      <c r="AU17" s="1">
        <v>163</v>
      </c>
      <c r="AV17" s="1">
        <v>937</v>
      </c>
      <c r="AW17" s="1">
        <v>957</v>
      </c>
      <c r="AX17" s="1">
        <v>659</v>
      </c>
      <c r="AY17" s="1">
        <v>803</v>
      </c>
      <c r="AZ17" s="1">
        <v>969</v>
      </c>
      <c r="BA17" s="1">
        <v>239</v>
      </c>
      <c r="BB17" s="1">
        <v>742</v>
      </c>
      <c r="BC17" s="1">
        <v>358</v>
      </c>
      <c r="BD17" s="1">
        <v>384</v>
      </c>
      <c r="BE17" s="1">
        <v>877</v>
      </c>
      <c r="BF17" s="1">
        <v>675</v>
      </c>
      <c r="BG17" s="1">
        <v>162</v>
      </c>
      <c r="BH17" s="1">
        <v>122</v>
      </c>
      <c r="BI17" s="1">
        <v>705</v>
      </c>
    </row>
    <row r="18" spans="1:61" x14ac:dyDescent="0.2">
      <c r="D18" s="1">
        <v>466</v>
      </c>
      <c r="E18" s="1">
        <v>956</v>
      </c>
      <c r="F18" s="1">
        <v>810</v>
      </c>
      <c r="G18" s="1">
        <v>45</v>
      </c>
      <c r="H18" s="1">
        <v>94</v>
      </c>
      <c r="I18" s="1">
        <v>390</v>
      </c>
      <c r="J18" s="1">
        <v>686</v>
      </c>
      <c r="K18" s="1">
        <v>367</v>
      </c>
      <c r="L18" s="1">
        <v>929</v>
      </c>
      <c r="M18" s="1">
        <v>270</v>
      </c>
      <c r="N18" s="1">
        <v>583</v>
      </c>
      <c r="O18" s="1">
        <v>927</v>
      </c>
      <c r="P18" s="1">
        <v>578</v>
      </c>
      <c r="Q18" s="1">
        <v>934</v>
      </c>
      <c r="R18" s="1">
        <v>477</v>
      </c>
      <c r="S18" s="1">
        <v>299</v>
      </c>
      <c r="T18" s="1">
        <v>906</v>
      </c>
      <c r="U18" s="1">
        <v>115</v>
      </c>
      <c r="V18" s="1">
        <v>140</v>
      </c>
      <c r="W18" s="1">
        <v>687</v>
      </c>
      <c r="X18" s="1">
        <v>342</v>
      </c>
      <c r="Y18" s="1">
        <v>179</v>
      </c>
      <c r="Z18" s="1">
        <v>696</v>
      </c>
      <c r="AA18" s="1">
        <v>456</v>
      </c>
      <c r="AB18" s="1">
        <v>766</v>
      </c>
      <c r="AC18" s="1">
        <v>697</v>
      </c>
      <c r="AD18" s="1">
        <v>97</v>
      </c>
      <c r="AE18" s="1">
        <v>85</v>
      </c>
      <c r="AF18" s="1">
        <v>193</v>
      </c>
      <c r="AG18" s="1">
        <v>430</v>
      </c>
      <c r="AH18" s="1">
        <v>572</v>
      </c>
      <c r="AI18" s="1">
        <v>35</v>
      </c>
      <c r="AJ18" s="1">
        <v>83</v>
      </c>
      <c r="AK18" s="1">
        <v>929</v>
      </c>
      <c r="AL18" s="1">
        <v>116</v>
      </c>
      <c r="AM18" s="1">
        <v>52</v>
      </c>
      <c r="AN18" s="1">
        <v>599</v>
      </c>
      <c r="AO18" s="1">
        <v>56</v>
      </c>
      <c r="AP18" s="1">
        <v>896</v>
      </c>
      <c r="AQ18" s="1">
        <v>558</v>
      </c>
      <c r="AR18" s="1">
        <v>280</v>
      </c>
      <c r="AS18" s="1">
        <v>703</v>
      </c>
      <c r="AT18" s="1">
        <v>346</v>
      </c>
      <c r="AU18" s="1">
        <v>136</v>
      </c>
      <c r="AV18" s="1">
        <v>886</v>
      </c>
      <c r="AW18" s="1">
        <v>245</v>
      </c>
      <c r="AX18" s="1">
        <v>908</v>
      </c>
      <c r="AY18" s="1">
        <v>679</v>
      </c>
      <c r="AZ18" s="1">
        <v>246</v>
      </c>
      <c r="BA18" s="1">
        <v>637</v>
      </c>
      <c r="BB18" s="1">
        <v>623</v>
      </c>
      <c r="BC18" s="1">
        <v>903</v>
      </c>
      <c r="BD18" s="1">
        <v>725</v>
      </c>
      <c r="BE18" s="1">
        <v>162</v>
      </c>
      <c r="BF18" s="1">
        <v>144</v>
      </c>
      <c r="BG18" s="1">
        <v>99</v>
      </c>
      <c r="BH18" s="1">
        <v>206</v>
      </c>
      <c r="BI18" s="1">
        <v>475</v>
      </c>
    </row>
    <row r="20" spans="1:61" x14ac:dyDescent="0.2">
      <c r="A20" s="7" t="s">
        <v>88</v>
      </c>
      <c r="B20" s="2"/>
      <c r="C20" s="2"/>
      <c r="D20" s="2"/>
      <c r="E20" s="2"/>
      <c r="G20" s="2"/>
    </row>
    <row r="23" spans="1:61" s="3" customFormat="1" x14ac:dyDescent="0.2">
      <c r="A23" s="4" t="s">
        <v>38</v>
      </c>
    </row>
    <row r="25" spans="1:61" x14ac:dyDescent="0.2">
      <c r="D25" s="5" t="s">
        <v>1</v>
      </c>
      <c r="E25" s="5" t="s">
        <v>39</v>
      </c>
    </row>
    <row r="26" spans="1:61" x14ac:dyDescent="0.2">
      <c r="D26" s="12" t="s">
        <v>40</v>
      </c>
      <c r="E26" s="12" t="s">
        <v>41</v>
      </c>
    </row>
    <row r="27" spans="1:61" x14ac:dyDescent="0.2">
      <c r="D27" s="12" t="s">
        <v>42</v>
      </c>
      <c r="E27" s="12" t="s">
        <v>43</v>
      </c>
    </row>
    <row r="28" spans="1:61" x14ac:dyDescent="0.2">
      <c r="D28" s="12" t="s">
        <v>44</v>
      </c>
      <c r="E28" s="12" t="s">
        <v>45</v>
      </c>
    </row>
    <row r="29" spans="1:61" x14ac:dyDescent="0.2">
      <c r="D29" s="12" t="s">
        <v>46</v>
      </c>
      <c r="E29" s="12" t="s">
        <v>47</v>
      </c>
    </row>
    <row r="31" spans="1:61" x14ac:dyDescent="0.2">
      <c r="A31" s="7" t="s">
        <v>89</v>
      </c>
      <c r="B31" s="2"/>
      <c r="C31" s="2"/>
      <c r="D31" s="2"/>
      <c r="E31" s="2"/>
      <c r="F31" s="22" t="s">
        <v>40</v>
      </c>
      <c r="G31" s="2"/>
    </row>
    <row r="32" spans="1:61" x14ac:dyDescent="0.2">
      <c r="A32" s="7" t="s">
        <v>90</v>
      </c>
      <c r="B32" s="7"/>
      <c r="C32" s="7"/>
      <c r="D32" s="7"/>
      <c r="E32" s="7"/>
      <c r="F32" s="7"/>
      <c r="G32" s="7"/>
    </row>
    <row r="35" spans="1:6" x14ac:dyDescent="0.2">
      <c r="B35" s="6"/>
      <c r="C35" s="6"/>
      <c r="D35" s="6"/>
      <c r="E35" s="6"/>
      <c r="F35" s="6"/>
    </row>
    <row r="36" spans="1:6" x14ac:dyDescent="0.2">
      <c r="A36" s="28" t="s">
        <v>120</v>
      </c>
      <c r="B36" s="6"/>
      <c r="C36" s="6"/>
      <c r="D36" s="6"/>
      <c r="E36" s="6"/>
      <c r="F36" s="6"/>
    </row>
    <row r="37" spans="1:6" x14ac:dyDescent="0.2">
      <c r="A37" s="29" t="s">
        <v>122</v>
      </c>
      <c r="B37" s="6"/>
      <c r="C37" s="6"/>
      <c r="D37" s="6"/>
      <c r="E37" s="6"/>
      <c r="F37" s="6"/>
    </row>
    <row r="38" spans="1:6" x14ac:dyDescent="0.2">
      <c r="A38" s="29" t="s">
        <v>123</v>
      </c>
      <c r="B38" s="6"/>
      <c r="C38" s="6"/>
      <c r="D38" s="6"/>
      <c r="E38" s="6"/>
      <c r="F38" s="6"/>
    </row>
    <row r="39" spans="1:6" x14ac:dyDescent="0.2">
      <c r="B39" s="6"/>
      <c r="C39" s="6"/>
      <c r="D39" s="6"/>
      <c r="E39" s="6"/>
      <c r="F39" s="6"/>
    </row>
    <row r="40" spans="1:6" x14ac:dyDescent="0.2">
      <c r="B40" s="6"/>
      <c r="C40" s="6"/>
      <c r="D40" s="6"/>
      <c r="E40" s="6"/>
      <c r="F40" s="6"/>
    </row>
    <row r="41" spans="1:6" x14ac:dyDescent="0.2">
      <c r="B41" s="6"/>
      <c r="C41" s="6"/>
      <c r="D41" s="6"/>
      <c r="E41" s="6"/>
      <c r="F41" s="6"/>
    </row>
    <row r="42" spans="1:6" x14ac:dyDescent="0.2">
      <c r="B42" s="6"/>
      <c r="C42" s="6"/>
      <c r="D42" s="6"/>
      <c r="E42" s="6"/>
      <c r="F42" s="6"/>
    </row>
    <row r="43" spans="1:6" x14ac:dyDescent="0.2">
      <c r="B43" s="6"/>
      <c r="C43" s="6"/>
      <c r="D43" s="6"/>
      <c r="E43" s="6"/>
      <c r="F43" s="6"/>
    </row>
    <row r="44" spans="1:6" x14ac:dyDescent="0.2">
      <c r="B44" s="6"/>
      <c r="C44" s="6"/>
      <c r="D44" s="6"/>
      <c r="E44" s="6"/>
      <c r="F44" s="6"/>
    </row>
    <row r="45" spans="1:6" x14ac:dyDescent="0.2">
      <c r="B45" s="6"/>
      <c r="C45" s="6"/>
      <c r="D45" s="6"/>
      <c r="E45" s="6"/>
      <c r="F45" s="6"/>
    </row>
    <row r="65536" spans="256:256" x14ac:dyDescent="0.2">
      <c r="IV65536" t="s">
        <v>2</v>
      </c>
    </row>
  </sheetData>
  <dataValidations count="3">
    <dataValidation type="list" allowBlank="1" showInputMessage="1" showErrorMessage="1" sqref="E35">
      <formula1>"Chris,Sarah,Aarani"</formula1>
    </dataValidation>
    <dataValidation type="list" allowBlank="1" showInputMessage="1" showErrorMessage="1" sqref="E36">
      <formula1>"Monday,Tuesday,Wednesday"</formula1>
    </dataValidation>
    <dataValidation type="list" allowBlank="1" showInputMessage="1" showErrorMessage="1" sqref="F31">
      <formula1>$D$26:$D$29</formula1>
    </dataValidation>
  </dataValidations>
  <hyperlinks>
    <hyperlink ref="A37" r:id="rId1"/>
    <hyperlink ref="A38" r:id="rId2"/>
  </hyperlinks>
  <pageMargins left="0.75" right="0.75" top="1" bottom="1" header="0.5" footer="0.5"/>
  <pageSetup orientation="portrait" horizontalDpi="200" verticalDpi="200" r:id="rId3"/>
  <headerFooter alignWithMargins="0">
    <oddFooter>&amp;LCapital One Confidential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reveal_answers.q6_answer">
                <anchor moveWithCells="1" sizeWithCells="1">
                  <from>
                    <xdr:col>7</xdr:col>
                    <xdr:colOff>171450</xdr:colOff>
                    <xdr:row>4</xdr:row>
                    <xdr:rowOff>0</xdr:rowOff>
                  </from>
                  <to>
                    <xdr:col>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7" name="Button 2">
              <controlPr defaultSize="0" print="0" autoFill="0" autoPict="0" macro="[0]!reveal_answers.q7_answer">
                <anchor moveWithCells="1" sizeWithCells="1">
                  <from>
                    <xdr:col>7</xdr:col>
                    <xdr:colOff>171450</xdr:colOff>
                    <xdr:row>8</xdr:row>
                    <xdr:rowOff>0</xdr:rowOff>
                  </from>
                  <to>
                    <xdr:col>8</xdr:col>
                    <xdr:colOff>600075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8" name="Button 3">
              <controlPr defaultSize="0" print="0" autoFill="0" autoPict="0" macro="[0]!reveal_answers.q8_answer">
                <anchor moveWithCells="1" sizeWithCells="1">
                  <from>
                    <xdr:col>7</xdr:col>
                    <xdr:colOff>171450</xdr:colOff>
                    <xdr:row>19</xdr:row>
                    <xdr:rowOff>0</xdr:rowOff>
                  </from>
                  <to>
                    <xdr:col>8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9" name="Button 4">
              <controlPr defaultSize="0" print="0" autoFill="0" autoPict="0" macro="[0]!reveal_answers.q9_answer">
                <anchor moveWithCells="1" sizeWithCells="1">
                  <from>
                    <xdr:col>7</xdr:col>
                    <xdr:colOff>171450</xdr:colOff>
                    <xdr:row>30</xdr:row>
                    <xdr:rowOff>0</xdr:rowOff>
                  </from>
                  <to>
                    <xdr:col>8</xdr:col>
                    <xdr:colOff>600075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45"/>
  <sheetViews>
    <sheetView topLeftCell="A13" workbookViewId="0">
      <selection activeCell="A45" sqref="A45"/>
    </sheetView>
  </sheetViews>
  <sheetFormatPr defaultRowHeight="12.75" x14ac:dyDescent="0.2"/>
  <cols>
    <col min="3" max="3" width="10" bestFit="1" customWidth="1"/>
    <col min="5" max="5" width="10.7109375" customWidth="1"/>
    <col min="6" max="6" width="10" bestFit="1" customWidth="1"/>
    <col min="8" max="9" width="10" bestFit="1" customWidth="1"/>
    <col min="11" max="11" width="10" bestFit="1" customWidth="1"/>
  </cols>
  <sheetData>
    <row r="1" spans="1:16" s="3" customFormat="1" x14ac:dyDescent="0.2">
      <c r="A1" s="4" t="s">
        <v>66</v>
      </c>
    </row>
    <row r="3" spans="1:16" x14ac:dyDescent="0.2">
      <c r="A3" s="7" t="s">
        <v>91</v>
      </c>
      <c r="B3" s="2"/>
      <c r="C3" s="2"/>
      <c r="D3" s="2"/>
      <c r="E3" s="7"/>
      <c r="F3" s="7"/>
      <c r="G3" s="7"/>
      <c r="H3" s="7"/>
      <c r="I3" s="7"/>
      <c r="J3" s="7"/>
    </row>
    <row r="4" spans="1:16" x14ac:dyDescent="0.2">
      <c r="C4" s="19"/>
      <c r="G4" s="19"/>
      <c r="J4" s="19"/>
    </row>
    <row r="5" spans="1:16" x14ac:dyDescent="0.2">
      <c r="E5" s="19" t="s">
        <v>67</v>
      </c>
      <c r="I5" s="19" t="s">
        <v>73</v>
      </c>
      <c r="L5" s="19" t="s">
        <v>72</v>
      </c>
    </row>
    <row r="7" spans="1:16" x14ac:dyDescent="0.2">
      <c r="E7" s="8" t="s">
        <v>68</v>
      </c>
      <c r="F7" s="1">
        <v>231</v>
      </c>
      <c r="H7" s="8" t="s">
        <v>68</v>
      </c>
      <c r="I7" s="1">
        <v>312317</v>
      </c>
      <c r="K7" s="8" t="s">
        <v>68</v>
      </c>
      <c r="L7" s="20"/>
      <c r="P7" s="23"/>
    </row>
    <row r="8" spans="1:16" x14ac:dyDescent="0.2">
      <c r="E8" s="8" t="s">
        <v>69</v>
      </c>
      <c r="F8" s="1">
        <v>543</v>
      </c>
      <c r="H8" s="8" t="s">
        <v>69</v>
      </c>
      <c r="I8" s="1">
        <v>542456</v>
      </c>
      <c r="K8" s="8" t="s">
        <v>69</v>
      </c>
      <c r="L8" s="20"/>
      <c r="P8" s="23"/>
    </row>
    <row r="9" spans="1:16" x14ac:dyDescent="0.2">
      <c r="E9" s="8" t="s">
        <v>70</v>
      </c>
      <c r="F9" s="1">
        <v>32</v>
      </c>
      <c r="H9" s="8" t="s">
        <v>70</v>
      </c>
      <c r="I9" s="1">
        <v>43247</v>
      </c>
      <c r="K9" s="8" t="s">
        <v>70</v>
      </c>
      <c r="L9" s="20"/>
      <c r="P9" s="23"/>
    </row>
    <row r="10" spans="1:16" x14ac:dyDescent="0.2">
      <c r="E10" s="8" t="s">
        <v>71</v>
      </c>
      <c r="F10" s="1">
        <v>0</v>
      </c>
      <c r="H10" s="8" t="s">
        <v>71</v>
      </c>
      <c r="I10" s="1">
        <v>0</v>
      </c>
      <c r="K10" s="8" t="s">
        <v>71</v>
      </c>
      <c r="L10" s="20"/>
      <c r="P10" s="23"/>
    </row>
    <row r="13" spans="1:16" s="3" customFormat="1" x14ac:dyDescent="0.2">
      <c r="A13" s="4" t="s">
        <v>77</v>
      </c>
    </row>
    <row r="15" spans="1:16" x14ac:dyDescent="0.2">
      <c r="A15" s="7" t="s">
        <v>96</v>
      </c>
      <c r="B15" s="2"/>
      <c r="C15" s="2"/>
      <c r="D15" s="2"/>
      <c r="E15" s="7"/>
      <c r="F15" s="7"/>
      <c r="G15" s="7"/>
      <c r="H15" s="7"/>
      <c r="I15" s="7"/>
      <c r="J15" s="7"/>
    </row>
    <row r="16" spans="1:16" x14ac:dyDescent="0.2">
      <c r="C16" s="19"/>
      <c r="G16" s="19"/>
      <c r="J16" s="19"/>
    </row>
    <row r="17" spans="1:10" x14ac:dyDescent="0.2">
      <c r="E17" s="8" t="s">
        <v>74</v>
      </c>
      <c r="G17" s="21"/>
    </row>
    <row r="18" spans="1:10" x14ac:dyDescent="0.2">
      <c r="E18" s="8" t="s">
        <v>75</v>
      </c>
      <c r="G18" s="21"/>
    </row>
    <row r="19" spans="1:10" x14ac:dyDescent="0.2">
      <c r="E19" s="8" t="s">
        <v>76</v>
      </c>
      <c r="G19" s="21"/>
    </row>
    <row r="22" spans="1:10" s="3" customFormat="1" x14ac:dyDescent="0.2">
      <c r="A22" s="4" t="s">
        <v>78</v>
      </c>
    </row>
    <row r="24" spans="1:10" x14ac:dyDescent="0.2">
      <c r="A24" s="7" t="s">
        <v>92</v>
      </c>
      <c r="B24" s="2"/>
      <c r="C24" s="2"/>
      <c r="D24" s="2"/>
      <c r="E24" s="7"/>
      <c r="F24" s="7"/>
      <c r="G24" s="7"/>
      <c r="H24" s="7"/>
      <c r="I24" s="7"/>
      <c r="J24" s="7"/>
    </row>
    <row r="25" spans="1:10" x14ac:dyDescent="0.2">
      <c r="C25" s="19"/>
      <c r="G25" s="19"/>
      <c r="J25" s="19"/>
    </row>
    <row r="26" spans="1:10" x14ac:dyDescent="0.2">
      <c r="E26" s="8" t="s">
        <v>79</v>
      </c>
      <c r="F26" s="8" t="s">
        <v>80</v>
      </c>
      <c r="G26" s="8" t="s">
        <v>82</v>
      </c>
    </row>
    <row r="27" spans="1:10" x14ac:dyDescent="0.2">
      <c r="B27" s="8"/>
      <c r="E27" s="1">
        <v>0.42737567464332671</v>
      </c>
      <c r="F27" s="1">
        <v>0.64336526793721793</v>
      </c>
      <c r="G27" s="1">
        <f>E27-F27</f>
        <v>-0.21598959329389122</v>
      </c>
    </row>
    <row r="28" spans="1:10" x14ac:dyDescent="0.2">
      <c r="B28" s="8"/>
      <c r="E28" s="1">
        <v>0.66379482447440896</v>
      </c>
      <c r="F28" s="1">
        <v>0.36769532781468839</v>
      </c>
      <c r="G28" s="1">
        <f t="shared" ref="G28:G35" si="0">E28-F28</f>
        <v>0.29609949665972057</v>
      </c>
    </row>
    <row r="29" spans="1:10" x14ac:dyDescent="0.2">
      <c r="B29" s="8"/>
      <c r="E29" s="1">
        <v>0.75611248576784584</v>
      </c>
      <c r="F29" s="1">
        <v>0.21531371412223055</v>
      </c>
      <c r="G29" s="1">
        <f t="shared" si="0"/>
        <v>0.54079877164561529</v>
      </c>
    </row>
    <row r="30" spans="1:10" x14ac:dyDescent="0.2">
      <c r="B30" s="8"/>
      <c r="E30" s="1">
        <v>0.5423774611110872</v>
      </c>
      <c r="F30" s="1">
        <v>0.95276482313915944</v>
      </c>
      <c r="G30" s="1">
        <f t="shared" si="0"/>
        <v>-0.41038736202807224</v>
      </c>
    </row>
    <row r="31" spans="1:10" x14ac:dyDescent="0.2">
      <c r="E31" s="1">
        <v>4.3495602136628175E-2</v>
      </c>
      <c r="F31" s="1">
        <v>0.62095392049582021</v>
      </c>
      <c r="G31" s="1">
        <f t="shared" si="0"/>
        <v>-0.57745831835919204</v>
      </c>
    </row>
    <row r="32" spans="1:10" x14ac:dyDescent="0.2">
      <c r="E32" s="1">
        <v>0.87159600639740176</v>
      </c>
      <c r="F32" s="1">
        <v>0.25908914737086919</v>
      </c>
      <c r="G32" s="1">
        <f t="shared" si="0"/>
        <v>0.61250685902653257</v>
      </c>
    </row>
    <row r="33" spans="1:7" x14ac:dyDescent="0.2">
      <c r="E33" s="1">
        <v>0.18547208508583835</v>
      </c>
      <c r="F33" s="1">
        <v>0.43908100657399185</v>
      </c>
      <c r="G33" s="1">
        <f t="shared" si="0"/>
        <v>-0.2536089214881535</v>
      </c>
    </row>
    <row r="34" spans="1:7" x14ac:dyDescent="0.2">
      <c r="E34" s="1">
        <v>0.22080322768265659</v>
      </c>
      <c r="F34" s="1">
        <v>0.48283678955243858</v>
      </c>
      <c r="G34" s="1">
        <f t="shared" si="0"/>
        <v>-0.26203356186978199</v>
      </c>
    </row>
    <row r="35" spans="1:7" x14ac:dyDescent="0.2">
      <c r="E35" s="1">
        <v>4.6047268624146653E-2</v>
      </c>
      <c r="F35" s="1">
        <v>0.88071914193710621</v>
      </c>
      <c r="G35" s="1">
        <f t="shared" si="0"/>
        <v>-0.83467187331295956</v>
      </c>
    </row>
    <row r="38" spans="1:7" x14ac:dyDescent="0.2">
      <c r="E38" s="8" t="s">
        <v>81</v>
      </c>
      <c r="G38" s="21"/>
    </row>
    <row r="42" spans="1:7" x14ac:dyDescent="0.2">
      <c r="A42" s="28" t="s">
        <v>120</v>
      </c>
    </row>
    <row r="43" spans="1:7" x14ac:dyDescent="0.2">
      <c r="A43" s="29" t="s">
        <v>66</v>
      </c>
    </row>
    <row r="44" spans="1:7" x14ac:dyDescent="0.2">
      <c r="A44" s="29" t="s">
        <v>124</v>
      </c>
      <c r="B44" s="29" t="s">
        <v>125</v>
      </c>
    </row>
    <row r="45" spans="1:7" x14ac:dyDescent="0.2">
      <c r="A45" s="29" t="s">
        <v>78</v>
      </c>
    </row>
  </sheetData>
  <hyperlinks>
    <hyperlink ref="A43" r:id="rId1"/>
    <hyperlink ref="A44" r:id="rId2"/>
    <hyperlink ref="B44" r:id="rId3"/>
    <hyperlink ref="A45" r:id="rId4"/>
  </hyperlinks>
  <pageMargins left="0.7" right="0.7" top="0.75" bottom="0.75" header="0.3" footer="0.5"/>
  <pageSetup paperSize="9" orientation="portrait" verticalDpi="0" r:id="rId5"/>
  <headerFooter>
    <oddFooter>&amp;LCapital One Confidential</oddFooter>
  </headerFooter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8" name="Button 3">
              <controlPr defaultSize="0" print="0" autoFill="0" autoPict="0" macro="[0]!reveal_answers.q10_answer">
                <anchor moveWithCells="1" siz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428625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reveal_answers.q11_answer">
                <anchor moveWithCells="1" sizeWithCells="1">
                  <from>
                    <xdr:col>7</xdr:col>
                    <xdr:colOff>285750</xdr:colOff>
                    <xdr:row>16</xdr:row>
                    <xdr:rowOff>0</xdr:rowOff>
                  </from>
                  <to>
                    <xdr:col>8</xdr:col>
                    <xdr:colOff>657225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reveal_answers.q12_answer">
                <anchor moveWithCells="1" sizeWithCells="1">
                  <from>
                    <xdr:col>7</xdr:col>
                    <xdr:colOff>285750</xdr:colOff>
                    <xdr:row>37</xdr:row>
                    <xdr:rowOff>0</xdr:rowOff>
                  </from>
                  <to>
                    <xdr:col>8</xdr:col>
                    <xdr:colOff>657225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90"/>
  <sheetViews>
    <sheetView topLeftCell="A41" workbookViewId="0">
      <selection activeCell="J56" sqref="J56"/>
    </sheetView>
  </sheetViews>
  <sheetFormatPr defaultRowHeight="12.75" x14ac:dyDescent="0.2"/>
  <cols>
    <col min="1" max="1" width="9.140625" style="14"/>
    <col min="2" max="2" width="15.28515625" style="14" customWidth="1"/>
    <col min="3" max="16384" width="9.140625" style="14"/>
  </cols>
  <sheetData>
    <row r="1" spans="1:6" s="3" customFormat="1" x14ac:dyDescent="0.2">
      <c r="A1" s="4" t="s">
        <v>94</v>
      </c>
    </row>
    <row r="3" spans="1:6" x14ac:dyDescent="0.2">
      <c r="A3" s="13" t="s">
        <v>95</v>
      </c>
      <c r="B3" s="13"/>
      <c r="C3" s="13"/>
      <c r="D3" s="13"/>
      <c r="E3" s="13"/>
      <c r="F3" s="13"/>
    </row>
    <row r="4" spans="1:6" ht="13.5" thickBot="1" x14ac:dyDescent="0.25"/>
    <row r="5" spans="1:6" ht="13.5" thickBot="1" x14ac:dyDescent="0.25">
      <c r="B5" s="15"/>
    </row>
    <row r="16" spans="1:6" x14ac:dyDescent="0.2">
      <c r="A16" s="13" t="s">
        <v>53</v>
      </c>
      <c r="B16" s="13"/>
      <c r="C16" s="13"/>
      <c r="D16" s="13"/>
      <c r="E16" s="13"/>
      <c r="F16" s="13"/>
    </row>
    <row r="19" spans="4:7" ht="13.5" thickBot="1" x14ac:dyDescent="0.25"/>
    <row r="20" spans="4:7" ht="13.5" thickBot="1" x14ac:dyDescent="0.25">
      <c r="D20" s="15">
        <v>45</v>
      </c>
      <c r="G20" s="15"/>
    </row>
    <row r="37" spans="1:6" x14ac:dyDescent="0.2">
      <c r="A37" s="13" t="s">
        <v>48</v>
      </c>
      <c r="B37" s="13"/>
      <c r="C37" s="13"/>
      <c r="D37" s="13"/>
      <c r="E37" s="13"/>
      <c r="F37" s="13"/>
    </row>
    <row r="39" spans="1:6" x14ac:dyDescent="0.2">
      <c r="B39" s="14" t="s">
        <v>49</v>
      </c>
      <c r="C39" s="16">
        <v>0</v>
      </c>
    </row>
    <row r="40" spans="1:6" x14ac:dyDescent="0.2">
      <c r="B40" s="14" t="s">
        <v>50</v>
      </c>
      <c r="C40" s="17">
        <f>150*C39</f>
        <v>0</v>
      </c>
    </row>
    <row r="41" spans="1:6" x14ac:dyDescent="0.2">
      <c r="B41" s="14" t="s">
        <v>51</v>
      </c>
      <c r="C41" s="17">
        <f>40 + C39*10</f>
        <v>40</v>
      </c>
    </row>
    <row r="42" spans="1:6" x14ac:dyDescent="0.2">
      <c r="B42" s="14" t="s">
        <v>52</v>
      </c>
      <c r="C42" s="17">
        <f>C40-C41</f>
        <v>-40</v>
      </c>
    </row>
    <row r="45" spans="1:6" x14ac:dyDescent="0.2">
      <c r="A45" s="13" t="s">
        <v>60</v>
      </c>
      <c r="B45" s="13"/>
      <c r="C45" s="13"/>
      <c r="D45" s="13"/>
      <c r="E45" s="13"/>
      <c r="F45" s="13"/>
    </row>
    <row r="48" spans="1:6" x14ac:dyDescent="0.2">
      <c r="B48" s="14" t="s">
        <v>55</v>
      </c>
      <c r="C48" s="16" t="s">
        <v>24</v>
      </c>
    </row>
    <row r="49" spans="1:6" x14ac:dyDescent="0.2">
      <c r="B49" s="14" t="s">
        <v>56</v>
      </c>
      <c r="C49" s="17" t="s">
        <v>24</v>
      </c>
    </row>
    <row r="50" spans="1:6" x14ac:dyDescent="0.2">
      <c r="B50" s="14" t="s">
        <v>57</v>
      </c>
      <c r="C50" s="17" t="s">
        <v>54</v>
      </c>
    </row>
    <row r="51" spans="1:6" x14ac:dyDescent="0.2">
      <c r="B51" s="14" t="s">
        <v>58</v>
      </c>
      <c r="C51" s="17"/>
    </row>
    <row r="52" spans="1:6" x14ac:dyDescent="0.2">
      <c r="B52" s="14" t="s">
        <v>59</v>
      </c>
      <c r="C52" s="14" t="s">
        <v>24</v>
      </c>
    </row>
    <row r="53" spans="1:6" x14ac:dyDescent="0.2">
      <c r="B53" s="14" t="s">
        <v>61</v>
      </c>
      <c r="C53" s="14" t="s">
        <v>54</v>
      </c>
    </row>
    <row r="56" spans="1:6" x14ac:dyDescent="0.2">
      <c r="A56" s="13" t="s">
        <v>63</v>
      </c>
      <c r="B56" s="13"/>
      <c r="C56" s="13"/>
      <c r="D56" s="13"/>
      <c r="E56" s="13"/>
      <c r="F56" s="13"/>
    </row>
    <row r="58" spans="1:6" x14ac:dyDescent="0.2">
      <c r="B58" s="14" t="s">
        <v>62</v>
      </c>
      <c r="C58" s="18">
        <v>2500000</v>
      </c>
    </row>
    <row r="61" spans="1:6" x14ac:dyDescent="0.2">
      <c r="C61" s="17"/>
    </row>
    <row r="62" spans="1:6" x14ac:dyDescent="0.2">
      <c r="A62" s="13" t="s">
        <v>64</v>
      </c>
      <c r="B62" s="13"/>
      <c r="C62" s="13"/>
      <c r="D62" s="13"/>
      <c r="E62" s="13"/>
      <c r="F62" s="13"/>
    </row>
    <row r="64" spans="1:6" x14ac:dyDescent="0.2">
      <c r="B64" s="14" t="s">
        <v>65</v>
      </c>
      <c r="C64" s="18"/>
    </row>
    <row r="65" spans="1:6" x14ac:dyDescent="0.2">
      <c r="B65" s="14" t="s">
        <v>65</v>
      </c>
    </row>
    <row r="66" spans="1:6" x14ac:dyDescent="0.2">
      <c r="B66" s="14" t="s">
        <v>65</v>
      </c>
    </row>
    <row r="67" spans="1:6" x14ac:dyDescent="0.2">
      <c r="B67" s="14" t="s">
        <v>65</v>
      </c>
    </row>
    <row r="68" spans="1:6" x14ac:dyDescent="0.2">
      <c r="B68" s="14" t="s">
        <v>65</v>
      </c>
    </row>
    <row r="71" spans="1:6" x14ac:dyDescent="0.2">
      <c r="A71" s="13" t="s">
        <v>113</v>
      </c>
      <c r="B71" s="13"/>
      <c r="C71" s="13"/>
      <c r="D71" s="13"/>
    </row>
    <row r="72" spans="1:6" x14ac:dyDescent="0.2">
      <c r="A72" s="13" t="s">
        <v>115</v>
      </c>
      <c r="B72" s="13"/>
      <c r="C72" s="13"/>
      <c r="D72" s="13"/>
    </row>
    <row r="73" spans="1:6" x14ac:dyDescent="0.2">
      <c r="A73" s="13" t="s">
        <v>114</v>
      </c>
      <c r="B73" s="13"/>
      <c r="C73" s="13"/>
      <c r="D73" s="13"/>
    </row>
    <row r="74" spans="1:6" x14ac:dyDescent="0.2">
      <c r="A74" s="13" t="s">
        <v>116</v>
      </c>
      <c r="B74" s="13"/>
      <c r="C74" s="13"/>
      <c r="D74" s="13"/>
    </row>
    <row r="75" spans="1:6" x14ac:dyDescent="0.2">
      <c r="A75" s="13" t="s">
        <v>117</v>
      </c>
      <c r="B75" s="13"/>
      <c r="C75" s="13"/>
      <c r="D75" s="13"/>
    </row>
    <row r="76" spans="1:6" customFormat="1" x14ac:dyDescent="0.2"/>
    <row r="77" spans="1:6" ht="15" x14ac:dyDescent="0.25">
      <c r="A77" s="24" t="s">
        <v>1</v>
      </c>
      <c r="B77" s="24" t="s">
        <v>3</v>
      </c>
      <c r="C77" s="24" t="s">
        <v>13</v>
      </c>
      <c r="D77" s="24" t="s">
        <v>97</v>
      </c>
      <c r="E77" s="24" t="s">
        <v>98</v>
      </c>
      <c r="F77" s="24" t="s">
        <v>99</v>
      </c>
    </row>
    <row r="78" spans="1:6" x14ac:dyDescent="0.2">
      <c r="A78" t="s">
        <v>100</v>
      </c>
      <c r="B78" t="s">
        <v>9</v>
      </c>
      <c r="C78">
        <v>57</v>
      </c>
      <c r="D78" s="25">
        <v>27.63</v>
      </c>
      <c r="E78" s="26">
        <v>40</v>
      </c>
      <c r="F78" s="27">
        <f t="shared" ref="F78:F90" si="0">D78*E78*52</f>
        <v>57470.400000000001</v>
      </c>
    </row>
    <row r="79" spans="1:6" x14ac:dyDescent="0.2">
      <c r="A79" t="s">
        <v>101</v>
      </c>
      <c r="B79" t="s">
        <v>9</v>
      </c>
      <c r="C79">
        <v>37</v>
      </c>
      <c r="D79" s="25">
        <v>10.32</v>
      </c>
      <c r="E79" s="26">
        <v>35</v>
      </c>
      <c r="F79" s="27">
        <f t="shared" si="0"/>
        <v>18782.399999999998</v>
      </c>
    </row>
    <row r="80" spans="1:6" x14ac:dyDescent="0.2">
      <c r="A80" t="s">
        <v>102</v>
      </c>
      <c r="B80" t="s">
        <v>0</v>
      </c>
      <c r="C80">
        <v>41</v>
      </c>
      <c r="D80" s="25">
        <v>27.47</v>
      </c>
      <c r="E80" s="26">
        <v>40</v>
      </c>
      <c r="F80" s="27">
        <f t="shared" si="0"/>
        <v>57137.599999999999</v>
      </c>
    </row>
    <row r="81" spans="1:6" x14ac:dyDescent="0.2">
      <c r="A81" t="s">
        <v>103</v>
      </c>
      <c r="B81" t="s">
        <v>0</v>
      </c>
      <c r="C81">
        <v>37</v>
      </c>
      <c r="D81" s="25">
        <v>18.170000000000002</v>
      </c>
      <c r="E81" s="26">
        <v>40</v>
      </c>
      <c r="F81" s="27">
        <f t="shared" si="0"/>
        <v>37793.600000000006</v>
      </c>
    </row>
    <row r="82" spans="1:6" x14ac:dyDescent="0.2">
      <c r="A82" t="s">
        <v>104</v>
      </c>
      <c r="B82" t="s">
        <v>9</v>
      </c>
      <c r="C82">
        <v>23</v>
      </c>
      <c r="D82" s="25">
        <v>11.42</v>
      </c>
      <c r="E82" s="26">
        <v>25</v>
      </c>
      <c r="F82" s="27">
        <f t="shared" si="0"/>
        <v>14846</v>
      </c>
    </row>
    <row r="83" spans="1:6" x14ac:dyDescent="0.2">
      <c r="A83" t="s">
        <v>105</v>
      </c>
      <c r="B83" t="s">
        <v>9</v>
      </c>
      <c r="C83">
        <v>37</v>
      </c>
      <c r="D83" s="25">
        <v>15.24</v>
      </c>
      <c r="E83" s="26">
        <v>40</v>
      </c>
      <c r="F83" s="27">
        <f t="shared" si="0"/>
        <v>31699.200000000001</v>
      </c>
    </row>
    <row r="84" spans="1:6" x14ac:dyDescent="0.2">
      <c r="A84" t="s">
        <v>106</v>
      </c>
      <c r="B84" t="s">
        <v>0</v>
      </c>
      <c r="C84">
        <v>51</v>
      </c>
      <c r="D84" s="25">
        <v>11.04</v>
      </c>
      <c r="E84" s="26">
        <v>40</v>
      </c>
      <c r="F84" s="27">
        <f t="shared" si="0"/>
        <v>22963.199999999997</v>
      </c>
    </row>
    <row r="85" spans="1:6" x14ac:dyDescent="0.2">
      <c r="A85" t="s">
        <v>107</v>
      </c>
      <c r="B85" t="s">
        <v>0</v>
      </c>
      <c r="C85">
        <v>47</v>
      </c>
      <c r="D85" s="25">
        <v>28.13</v>
      </c>
      <c r="E85" s="26">
        <v>20</v>
      </c>
      <c r="F85" s="27">
        <f t="shared" si="0"/>
        <v>29255.200000000001</v>
      </c>
    </row>
    <row r="86" spans="1:6" x14ac:dyDescent="0.2">
      <c r="A86" t="s">
        <v>108</v>
      </c>
      <c r="B86" t="s">
        <v>9</v>
      </c>
      <c r="C86">
        <v>44</v>
      </c>
      <c r="D86" s="25">
        <v>20.82</v>
      </c>
      <c r="E86" s="26">
        <v>40</v>
      </c>
      <c r="F86" s="27">
        <f t="shared" si="0"/>
        <v>43305.599999999999</v>
      </c>
    </row>
    <row r="87" spans="1:6" x14ac:dyDescent="0.2">
      <c r="A87" t="s">
        <v>109</v>
      </c>
      <c r="B87" t="s">
        <v>0</v>
      </c>
      <c r="C87">
        <v>41</v>
      </c>
      <c r="D87" s="25">
        <v>11.67</v>
      </c>
      <c r="E87" s="26">
        <v>40</v>
      </c>
      <c r="F87" s="27">
        <f t="shared" si="0"/>
        <v>24273.600000000002</v>
      </c>
    </row>
    <row r="88" spans="1:6" x14ac:dyDescent="0.2">
      <c r="A88" t="s">
        <v>110</v>
      </c>
      <c r="B88" t="s">
        <v>9</v>
      </c>
      <c r="C88">
        <v>28</v>
      </c>
      <c r="D88" s="25">
        <v>18.25</v>
      </c>
      <c r="E88" s="26">
        <v>40</v>
      </c>
      <c r="F88" s="27">
        <f t="shared" si="0"/>
        <v>37960</v>
      </c>
    </row>
    <row r="89" spans="1:6" x14ac:dyDescent="0.2">
      <c r="A89" t="s">
        <v>111</v>
      </c>
      <c r="B89" t="s">
        <v>9</v>
      </c>
      <c r="C89">
        <v>28</v>
      </c>
      <c r="D89" s="25">
        <v>11.61</v>
      </c>
      <c r="E89" s="26">
        <v>40</v>
      </c>
      <c r="F89" s="27">
        <f t="shared" si="0"/>
        <v>24148.799999999999</v>
      </c>
    </row>
    <row r="90" spans="1:6" x14ac:dyDescent="0.2">
      <c r="A90" t="s">
        <v>112</v>
      </c>
      <c r="B90" t="s">
        <v>0</v>
      </c>
      <c r="C90">
        <v>55</v>
      </c>
      <c r="D90" s="25">
        <v>35.5</v>
      </c>
      <c r="E90" s="26">
        <v>40</v>
      </c>
      <c r="F90" s="27">
        <f t="shared" si="0"/>
        <v>73840</v>
      </c>
    </row>
  </sheetData>
  <pageMargins left="0.75" right="0.75" top="1" bottom="1" header="0.5" footer="0.5"/>
  <pageSetup paperSize="9" orientation="portrait" r:id="rId1"/>
  <headerFooter alignWithMargins="0">
    <oddFooter>&amp;LCapital One 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autoPict="0">
                <anchor moveWithCells="1">
                  <from>
                    <xdr:col>1</xdr:col>
                    <xdr:colOff>438150</xdr:colOff>
                    <xdr:row>18</xdr:row>
                    <xdr:rowOff>9525</xdr:rowOff>
                  </from>
                  <to>
                    <xdr:col>1</xdr:col>
                    <xdr:colOff>657225</xdr:colOff>
                    <xdr:row>32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1. Sumif</vt:lpstr>
      <vt:lpstr>2. Sumproduct</vt:lpstr>
      <vt:lpstr>3. Index-Match</vt:lpstr>
      <vt:lpstr>4. Other Functions</vt:lpstr>
      <vt:lpstr>5. Features</vt:lpstr>
      <vt:lpstr>q1_answer</vt:lpstr>
      <vt:lpstr>q10_answer</vt:lpstr>
      <vt:lpstr>q11_answer_1</vt:lpstr>
      <vt:lpstr>q11_answer_2</vt:lpstr>
      <vt:lpstr>q11_answer_3</vt:lpstr>
      <vt:lpstr>q12_answer</vt:lpstr>
      <vt:lpstr>q12_answers_calc</vt:lpstr>
      <vt:lpstr>q2_answer</vt:lpstr>
      <vt:lpstr>q3_answer</vt:lpstr>
      <vt:lpstr>q4_answer</vt:lpstr>
      <vt:lpstr>q5_answer</vt:lpstr>
      <vt:lpstr>q6_answer</vt:lpstr>
      <vt:lpstr>q7_answer</vt:lpstr>
      <vt:lpstr>q7_answer_2</vt:lpstr>
      <vt:lpstr>q8_answer</vt:lpstr>
      <vt:lpstr>q9_answer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Young, Samuel</dc:creator>
  <cp:lastModifiedBy>Allen Sarah</cp:lastModifiedBy>
  <dcterms:created xsi:type="dcterms:W3CDTF">1996-10-14T23:33:28Z</dcterms:created>
  <dcterms:modified xsi:type="dcterms:W3CDTF">2017-08-29T09:01:02Z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lassification Level">
    <vt:lpwstr>Confidential</vt:lpwstr>
  </property>
  <property fmtid="{D5CDD505-2E9C-101B-9397-08002B2CF9AE}" pid="3" name="thinkcellXlWorkbookDoNotDelete" linkTarget="&lt;?xml version=&quot;1.0&quot; encoding=&quot;UTF-16&quot; standalone=&quot;yes&quot;?&gt;&#10;&lt;root reqver=&quot;17839&quot;&gt;&lt;version val=&quot;21009&quot;/&gt;&lt;CXlWorkbook id=&quot;1&quot;/&gt;&lt;/root&gt;">
    <vt:bool>false</vt:bool>
  </property>
</Properties>
</file>